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esktop\InceptionBD\HR-Data-Analytics-Dashboard\"/>
    </mc:Choice>
  </mc:AlternateContent>
  <xr:revisionPtr revIDLastSave="0" documentId="13_ncr:1_{397D07DC-BAF0-40B3-877F-01C8FA637FE2}" xr6:coauthVersionLast="47" xr6:coauthVersionMax="47" xr10:uidLastSave="{00000000-0000-0000-0000-000000000000}"/>
  <bookViews>
    <workbookView xWindow="-104" yWindow="-104" windowWidth="22326" windowHeight="11947" activeTab="2" xr2:uid="{00000000-000D-0000-FFFF-FFFF00000000}"/>
  </bookViews>
  <sheets>
    <sheet name="Sheet1" sheetId="2" r:id="rId1"/>
    <sheet name="Calculations" sheetId="3" r:id="rId2"/>
    <sheet name="Dashboard" sheetId="4" r:id="rId3"/>
    <sheet name="HR" sheetId="1" r:id="rId4"/>
  </sheets>
  <definedNames>
    <definedName name="Slicer_Department">#N/A</definedName>
    <definedName name="Slicer_Employee_Type">#N/A</definedName>
    <definedName name="Slicer_Gender">#N/A</definedName>
    <definedName name="Slicer_Working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fg9PZd26U277y3lyh8UhQ3CdUkVBN7/q3Lgvlriu4fg="/>
    </ext>
  </extLst>
</workbook>
</file>

<file path=xl/calcChain.xml><?xml version="1.0" encoding="utf-8"?>
<calcChain xmlns="http://schemas.openxmlformats.org/spreadsheetml/2006/main">
  <c r="A5" i="3" l="1"/>
  <c r="C5" i="3"/>
  <c r="E5" i="3"/>
  <c r="G5" i="3"/>
</calcChain>
</file>

<file path=xl/sharedStrings.xml><?xml version="1.0" encoding="utf-8"?>
<sst xmlns="http://schemas.openxmlformats.org/spreadsheetml/2006/main" count="4992" uniqueCount="880">
  <si>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</si>
  <si>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</si>
  <si>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</si>
  <si>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</si>
  <si>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</si>
  <si>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</si>
  <si>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</si>
  <si>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</si>
  <si>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</si>
  <si>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</si>
  <si>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</si>
  <si>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</si>
  <si>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</si>
  <si>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</si>
  <si>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</si>
  <si>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</si>
  <si>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</si>
  <si>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</si>
  <si>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</si>
  <si>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Permanent</t>
  </si>
  <si>
    <t>Male</t>
  </si>
  <si>
    <t>Single</t>
  </si>
  <si>
    <t>B+</t>
  </si>
  <si>
    <t>Gazipura 27</t>
  </si>
  <si>
    <t>1km -3km</t>
  </si>
  <si>
    <t>Active</t>
  </si>
  <si>
    <t>ACX2</t>
  </si>
  <si>
    <t>Md. Abdul Kader</t>
  </si>
  <si>
    <t>Administration Dept.</t>
  </si>
  <si>
    <t>Probation</t>
  </si>
  <si>
    <t>A+</t>
  </si>
  <si>
    <t>Resigned</t>
  </si>
  <si>
    <t>ACX3</t>
  </si>
  <si>
    <t>Md. Sagor Hossain</t>
  </si>
  <si>
    <t>Production Dept.</t>
  </si>
  <si>
    <t>Married</t>
  </si>
  <si>
    <t>O+</t>
  </si>
  <si>
    <t>Uttara</t>
  </si>
  <si>
    <t>Fire</t>
  </si>
  <si>
    <t>ACX4</t>
  </si>
  <si>
    <t>Masud Islam Fahim</t>
  </si>
  <si>
    <t>Quality Dept.</t>
  </si>
  <si>
    <t>Loader</t>
  </si>
  <si>
    <t>Bonmala Road</t>
  </si>
  <si>
    <t>3km-5km</t>
  </si>
  <si>
    <t>ACX5</t>
  </si>
  <si>
    <t>Md. Manik Mia</t>
  </si>
  <si>
    <t>Khilkhet</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</si>
  <si>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</si>
  <si>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</si>
  <si>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</si>
  <si>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</si>
  <si>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</si>
  <si>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</si>
  <si>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</si>
  <si>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</si>
  <si>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</si>
  <si>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</si>
  <si>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</si>
  <si>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</si>
  <si>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</si>
  <si>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</si>
  <si>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</si>
  <si>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</si>
  <si>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</si>
  <si>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</si>
  <si>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</si>
  <si>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</si>
  <si>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</si>
  <si>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</si>
  <si>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</si>
  <si>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</si>
  <si>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</si>
  <si>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</si>
  <si>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</si>
  <si>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</si>
  <si>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</si>
  <si>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</si>
  <si>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</si>
  <si>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</si>
  <si>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</si>
  <si>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</si>
  <si>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</si>
  <si>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</si>
  <si>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</si>
  <si>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</si>
  <si>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</si>
  <si>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</si>
  <si>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</si>
  <si>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</si>
  <si>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</si>
  <si>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</si>
  <si>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</si>
  <si>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</si>
  <si>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</si>
  <si>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</si>
  <si>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</si>
  <si>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</si>
  <si>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</si>
  <si>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</si>
  <si>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</si>
  <si>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</si>
  <si>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</si>
  <si>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</si>
  <si>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</si>
  <si>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</si>
  <si>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</si>
  <si>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</si>
  <si>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</si>
  <si>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</si>
  <si>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</si>
  <si>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</si>
  <si>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</si>
  <si>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</si>
  <si>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</si>
  <si>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</si>
  <si>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</si>
  <si>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</si>
  <si>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</si>
  <si>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</si>
  <si>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</si>
  <si>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</si>
  <si>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</si>
  <si>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</si>
  <si>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</si>
  <si>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</si>
  <si>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</si>
  <si>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</si>
  <si>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</si>
  <si>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</si>
  <si>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</si>
  <si>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</si>
  <si>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</si>
  <si>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</si>
  <si>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</si>
  <si>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</si>
  <si>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</si>
  <si>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</si>
  <si>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</si>
  <si>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</si>
  <si>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</si>
  <si>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</si>
  <si>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</si>
  <si>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</si>
  <si>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</si>
  <si>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</si>
  <si>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</si>
  <si>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</si>
  <si>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</si>
  <si>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</si>
  <si>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</si>
  <si>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</si>
  <si>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</si>
  <si>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</si>
  <si>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</si>
  <si>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</si>
  <si>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</si>
  <si>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</si>
  <si>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</si>
  <si>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</si>
  <si>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</si>
  <si>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</si>
  <si>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</si>
  <si>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</si>
  <si>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</si>
  <si>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</si>
  <si>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</si>
  <si>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</si>
  <si>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</si>
  <si>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</si>
  <si>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</si>
  <si>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</si>
  <si>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</si>
  <si>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</si>
  <si>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</si>
  <si>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</si>
  <si>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</si>
  <si>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</si>
  <si>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</si>
  <si>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</si>
  <si>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</si>
  <si>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</si>
  <si>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</si>
  <si>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</si>
  <si>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</si>
  <si>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</si>
  <si>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</si>
  <si>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</si>
  <si>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</si>
  <si>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</si>
  <si>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</si>
  <si>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</si>
  <si>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</si>
  <si>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</si>
  <si>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</si>
  <si>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</si>
  <si>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</si>
  <si>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</si>
  <si>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</si>
  <si>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</si>
  <si>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</si>
  <si>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</si>
  <si>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</si>
  <si>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</si>
  <si>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</si>
  <si>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</si>
  <si>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</si>
  <si>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</si>
  <si>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</si>
  <si>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</si>
  <si>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</si>
  <si>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</si>
  <si>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</si>
  <si>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</si>
  <si>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</si>
  <si>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</si>
  <si>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</si>
  <si>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</si>
  <si>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</si>
  <si>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</si>
  <si>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</si>
  <si>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</si>
  <si>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</si>
  <si>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</si>
  <si>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</si>
  <si>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</si>
  <si>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</si>
  <si>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</si>
  <si>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</si>
  <si>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</si>
  <si>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</si>
  <si>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</si>
  <si>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</si>
  <si>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</si>
  <si>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</si>
  <si>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</si>
  <si>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</si>
  <si>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</si>
  <si>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</si>
  <si>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</si>
  <si>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</si>
  <si>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</si>
  <si>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</si>
  <si>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</si>
  <si>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</si>
  <si>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</si>
  <si>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</si>
  <si>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</si>
  <si>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</si>
  <si>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</si>
  <si>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</si>
  <si>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</si>
  <si>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</si>
  <si>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</si>
  <si>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</si>
  <si>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</si>
  <si>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</si>
  <si>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</si>
  <si>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</si>
  <si>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</si>
  <si>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</si>
  <si>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</si>
  <si>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</si>
  <si>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</si>
  <si>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</si>
  <si>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</si>
  <si>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</si>
  <si>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</si>
  <si>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</si>
  <si>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</si>
  <si>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</si>
  <si>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</si>
  <si>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</si>
  <si>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</si>
  <si>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</si>
  <si>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</si>
  <si>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</si>
  <si>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</si>
  <si>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</si>
  <si>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</si>
  <si>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</si>
  <si>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</si>
  <si>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</si>
  <si>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</si>
  <si>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</si>
  <si>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</si>
  <si>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</si>
  <si>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</si>
  <si>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</si>
  <si>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</si>
  <si>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</si>
  <si>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</si>
  <si>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</si>
  <si>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</si>
  <si>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</si>
  <si>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</si>
  <si>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</si>
  <si>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</si>
  <si>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</si>
  <si>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</si>
  <si>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</si>
  <si>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</si>
  <si>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</si>
  <si>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</si>
  <si>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</si>
  <si>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</si>
  <si>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</si>
  <si>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</si>
  <si>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</si>
  <si>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</si>
  <si>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</si>
  <si>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</si>
  <si>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</si>
  <si>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</si>
  <si>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</si>
  <si>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</si>
  <si>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</si>
  <si>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</si>
  <si>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</si>
  <si>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</si>
  <si>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</si>
  <si>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</si>
  <si>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</si>
  <si>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</si>
  <si>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</si>
  <si>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</si>
  <si>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</si>
  <si>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</si>
  <si>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</si>
  <si>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</si>
  <si>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</si>
  <si>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</si>
  <si>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</si>
  <si>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</si>
  <si>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</si>
  <si>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</si>
  <si>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</si>
  <si>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</si>
  <si>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</si>
  <si>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</si>
  <si>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</si>
  <si>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</si>
  <si>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</si>
  <si>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</si>
  <si>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</si>
  <si>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</si>
  <si>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</si>
  <si>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</si>
  <si>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</si>
  <si>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</si>
  <si>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</si>
  <si>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</si>
  <si>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</si>
  <si>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</si>
  <si>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</si>
  <si>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</si>
  <si>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</si>
  <si>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</si>
  <si>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</si>
  <si>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</si>
  <si>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</si>
  <si>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</si>
  <si>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</si>
  <si>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</si>
  <si>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</si>
  <si>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</si>
  <si>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</si>
  <si>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</si>
  <si>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</si>
  <si>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</si>
  <si>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</si>
  <si>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</si>
  <si>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</si>
  <si>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</si>
  <si>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</si>
  <si>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</si>
  <si>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</si>
  <si>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</si>
  <si>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</si>
  <si>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</si>
  <si>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</si>
  <si>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</si>
  <si>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</si>
  <si>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</si>
  <si>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</si>
  <si>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</si>
  <si>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</si>
  <si>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</si>
  <si>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</si>
  <si>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</si>
  <si>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</si>
  <si>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</si>
  <si>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</si>
  <si>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</si>
  <si>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</si>
  <si>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</si>
  <si>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</si>
  <si>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</si>
  <si>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</si>
  <si>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</si>
  <si>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</si>
  <si>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</si>
  <si>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</si>
  <si>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</si>
  <si>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</si>
  <si>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</si>
  <si>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</si>
  <si>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</si>
  <si>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</si>
  <si>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</si>
  <si>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</si>
  <si>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</si>
  <si>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</si>
  <si>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</si>
  <si>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</si>
  <si>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</si>
  <si>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</si>
  <si>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</si>
  <si>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</si>
  <si>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</si>
  <si>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</si>
  <si>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</si>
  <si>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</si>
  <si>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</si>
  <si>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</si>
  <si>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</si>
  <si>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</si>
  <si>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</si>
  <si>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</si>
  <si>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</si>
  <si>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</si>
  <si>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</si>
  <si>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</si>
  <si>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</si>
  <si>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</si>
  <si>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</si>
  <si>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</si>
  <si>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</si>
  <si>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</si>
  <si>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</si>
  <si>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</si>
  <si>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</si>
  <si>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</si>
  <si>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</si>
  <si>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</si>
  <si>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</si>
  <si>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</si>
  <si>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</si>
  <si>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</si>
  <si>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</si>
  <si>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</si>
  <si>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</si>
  <si>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</si>
  <si>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</si>
  <si>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</si>
  <si>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</si>
  <si>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</si>
  <si>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</si>
  <si>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</si>
  <si>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</si>
  <si>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</si>
  <si>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</si>
  <si>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</si>
  <si>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</si>
  <si>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</si>
  <si>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</si>
  <si>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</si>
  <si>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</si>
  <si>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</si>
  <si>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</si>
  <si>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</si>
  <si>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</si>
  <si>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</si>
  <si>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</si>
  <si>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</si>
  <si>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</si>
  <si>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</si>
  <si>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</si>
  <si>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</si>
  <si>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</si>
  <si>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</si>
  <si>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</si>
  <si>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</si>
  <si>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</si>
  <si>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</si>
  <si>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</si>
  <si>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</si>
  <si>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</si>
  <si>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</si>
  <si>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</si>
  <si>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</si>
  <si>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</si>
  <si>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</si>
  <si>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</si>
  <si>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</si>
  <si>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</si>
  <si>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</si>
  <si>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</si>
  <si>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</si>
  <si>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</si>
  <si>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</si>
  <si>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</si>
  <si>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</si>
  <si>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</si>
  <si>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</si>
  <si>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</si>
  <si>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</si>
  <si>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</si>
  <si>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</si>
  <si>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</si>
  <si>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</si>
  <si>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</si>
  <si>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</si>
  <si>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</si>
  <si>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</si>
  <si>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</si>
  <si>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</si>
  <si>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</si>
  <si>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</si>
  <si>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</si>
  <si>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</si>
  <si>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</si>
  <si>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</si>
  <si>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</si>
  <si>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</si>
  <si>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</si>
  <si>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</si>
  <si>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</si>
  <si>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</si>
  <si>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</si>
  <si>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</si>
  <si>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</si>
  <si>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</si>
  <si>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</si>
  <si>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</si>
  <si>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</si>
  <si>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</si>
  <si>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</si>
  <si>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</si>
  <si>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</si>
  <si>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</si>
  <si>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</si>
  <si>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</si>
  <si>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</si>
  <si>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</si>
  <si>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</si>
  <si>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</si>
  <si>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</si>
  <si>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</si>
  <si>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</si>
  <si>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</si>
  <si>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</si>
  <si>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</si>
  <si>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</si>
  <si>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</si>
  <si>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</si>
  <si>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</si>
  <si>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</si>
  <si>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</si>
  <si>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</si>
  <si>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</si>
  <si>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</si>
  <si>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</si>
  <si>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</si>
  <si>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</si>
  <si>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</si>
  <si>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</si>
  <si>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</si>
  <si>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</si>
  <si>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</si>
  <si>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</si>
  <si>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</si>
  <si>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</si>
  <si>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</si>
  <si>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</si>
  <si>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</si>
  <si>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</si>
  <si>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</si>
  <si>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</si>
  <si>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</si>
  <si>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</si>
  <si>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</si>
  <si>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</si>
  <si>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</si>
  <si>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</si>
  <si>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</si>
  <si>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</si>
  <si>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</si>
  <si>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</si>
  <si>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</si>
  <si>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</si>
  <si>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</si>
  <si>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</si>
  <si>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</si>
  <si>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</si>
  <si>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</si>
  <si>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</si>
  <si>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</si>
  <si>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</si>
  <si>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</si>
  <si>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</si>
  <si>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</si>
  <si>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</si>
  <si>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</si>
  <si>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</si>
  <si>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</si>
  <si>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</si>
  <si>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</si>
  <si>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</si>
  <si>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</si>
  <si>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</si>
  <si>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</si>
  <si>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</si>
  <si>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</si>
  <si>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</si>
  <si>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</si>
  <si>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</si>
  <si>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</si>
  <si>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</si>
  <si>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</si>
  <si>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</si>
  <si>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</si>
  <si>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</si>
  <si>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</si>
  <si>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</si>
  <si>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</si>
  <si>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</si>
  <si>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</si>
  <si>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</si>
  <si>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</si>
  <si>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</si>
  <si>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</si>
  <si>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</si>
  <si>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</si>
  <si>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</si>
  <si>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</si>
  <si>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</si>
  <si>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</si>
  <si>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</si>
  <si>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</si>
  <si>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</si>
  <si>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</si>
  <si>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</si>
  <si>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</si>
  <si>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</si>
  <si>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</si>
  <si>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</si>
  <si>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</si>
  <si>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</si>
  <si>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</si>
  <si>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</si>
  <si>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</si>
  <si>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</si>
  <si>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</si>
  <si>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</si>
  <si>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</si>
  <si>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</si>
  <si>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</si>
  <si>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</si>
  <si>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</si>
  <si>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</si>
  <si>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</si>
  <si>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</si>
  <si>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</si>
  <si>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</si>
  <si>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</si>
  <si>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</si>
  <si>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</si>
  <si>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</si>
  <si>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</si>
  <si>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</si>
  <si>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</si>
  <si>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</si>
  <si>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</si>
  <si>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</si>
  <si>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</si>
  <si>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</si>
  <si>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</si>
  <si>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</si>
  <si>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</si>
  <si>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</si>
  <si>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</si>
  <si>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</si>
  <si>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</si>
  <si>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</si>
  <si>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</si>
  <si>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</si>
  <si>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</si>
  <si>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</si>
  <si>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</si>
  <si>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</si>
  <si>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</si>
  <si>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</si>
  <si>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</si>
  <si>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</si>
  <si>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</si>
  <si>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</si>
  <si>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</si>
  <si>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</si>
  <si>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</si>
  <si>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</si>
  <si>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</si>
  <si>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</si>
  <si>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</si>
  <si>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</si>
  <si>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</si>
  <si>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</si>
  <si>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</si>
  <si>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</si>
  <si>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</si>
  <si>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</si>
  <si>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</si>
  <si>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</si>
  <si>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</si>
  <si>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</si>
  <si>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</si>
  <si>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</si>
  <si>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</si>
  <si>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</si>
  <si>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</si>
  <si>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</si>
  <si>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</si>
  <si>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</si>
  <si>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</si>
  <si>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</si>
  <si>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</si>
  <si>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</si>
  <si>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</si>
  <si>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</si>
  <si>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</si>
  <si>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</si>
  <si>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</si>
  <si>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</si>
  <si>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</si>
  <si>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</si>
  <si>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</si>
  <si>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</si>
  <si>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</si>
  <si>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</si>
  <si>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</si>
  <si>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</si>
  <si>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</si>
  <si>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</si>
  <si>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</si>
  <si>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</si>
  <si>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</si>
  <si>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</si>
  <si>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</si>
  <si>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</si>
  <si>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</si>
  <si>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</si>
  <si>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</si>
  <si>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</si>
  <si>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</si>
  <si>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</si>
  <si>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</si>
  <si>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</si>
  <si>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</si>
  <si>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</si>
  <si>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</si>
  <si>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</si>
  <si>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</si>
  <si>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</si>
  <si>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</si>
  <si>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</si>
  <si>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</si>
  <si>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</si>
  <si>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</si>
  <si>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</si>
  <si>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</si>
  <si>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</si>
  <si>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</si>
  <si>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</si>
  <si>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</si>
  <si>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</si>
  <si>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</si>
  <si>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</si>
  <si>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</si>
  <si>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</si>
  <si>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</si>
  <si>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</si>
  <si>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</si>
  <si>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</si>
  <si>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</si>
  <si>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</si>
  <si>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</si>
  <si>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</si>
  <si>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</si>
  <si>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</si>
  <si>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</si>
  <si>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</si>
  <si>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</si>
  <si>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</si>
  <si>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</si>
  <si>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</si>
  <si>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</si>
  <si>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</si>
  <si>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</si>
  <si>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</si>
  <si>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</si>
  <si>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</si>
  <si>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</si>
  <si>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</si>
  <si>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</si>
  <si>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</si>
  <si>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</si>
  <si>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</si>
  <si>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</si>
  <si>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</si>
  <si>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</si>
  <si>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</si>
  <si>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</si>
  <si>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</si>
  <si>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</si>
  <si>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</si>
  <si>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</si>
  <si>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</si>
  <si>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</si>
  <si>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</si>
  <si>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</si>
  <si>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</si>
  <si>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</si>
  <si>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</si>
  <si>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</si>
  <si>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</si>
  <si>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</si>
  <si>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</si>
  <si>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</si>
  <si>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</si>
  <si>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</si>
  <si>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</si>
  <si>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</si>
  <si>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</si>
  <si>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</si>
  <si>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</si>
  <si>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</si>
  <si>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</si>
  <si>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</si>
  <si>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</si>
  <si>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</si>
  <si>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</si>
  <si>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</si>
  <si>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</si>
  <si>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</si>
  <si>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</si>
  <si>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</si>
  <si>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</si>
  <si>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</si>
  <si>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</si>
  <si>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</si>
  <si>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</si>
  <si>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</si>
  <si>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</si>
  <si>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Management</t>
  </si>
  <si>
    <t>Indirect</t>
  </si>
  <si>
    <t>Direct</t>
  </si>
  <si>
    <t>Senior Executive</t>
  </si>
  <si>
    <t>10km-15km</t>
  </si>
  <si>
    <t>Total Employe</t>
  </si>
  <si>
    <t>Row Labels</t>
  </si>
  <si>
    <t>Grand Total</t>
  </si>
  <si>
    <t>Count of ID</t>
  </si>
  <si>
    <t>Total Employees</t>
  </si>
  <si>
    <t>Total Basic Salary</t>
  </si>
  <si>
    <t>Average of Salary</t>
  </si>
  <si>
    <t>Average Salary</t>
  </si>
  <si>
    <t>Active Employees</t>
  </si>
  <si>
    <t>Jan</t>
  </si>
  <si>
    <t>Feb</t>
  </si>
  <si>
    <t>Mar</t>
  </si>
  <si>
    <t>Apr</t>
  </si>
  <si>
    <t>May</t>
  </si>
  <si>
    <t>Jun</t>
  </si>
  <si>
    <t>Jul</t>
  </si>
  <si>
    <t>Aug</t>
  </si>
  <si>
    <t>Sep</t>
  </si>
  <si>
    <t>Nov</t>
  </si>
  <si>
    <t>Dec</t>
  </si>
  <si>
    <t>Months</t>
  </si>
  <si>
    <t>Number of Joined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</si>
</sst>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00"/>
    <numFmt numFmtId="165" formatCode="&quot;$&quot;#,##0"/>
    <numFmt numFmtId="166" formatCode="_(&quot;$&quot;* #,##0_);_(&quot;$&quot;* \(#,##0\);_(&quot;$&quot;* &quot;-&quot;??_);_(@_)"/>
    <numFmt numFmtId="167" formatCode="_(* #,##0_);_(* \(#,##0\);_(* &quot;-&quot;??_);_(@_)"/>
  </numFmts>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5">
    <xf numFmtId="0" fontId="0" fillId="0" borderId="0" xfId="0" applyFont="1" applyAlignment="1"/>
    <xf numFmtId="0" fontId="1" fillId="0" borderId="0" xfId="0" applyFont="1"/>
    <xf numFmtId="14" fontId="1" fillId="0" borderId="0" xfId="0" applyNumberFormat="1" applyFont="1"/>
    <xf numFmtId="14" fontId="0" fillId="0" borderId="0" xfId="0" applyNumberFormat="1" applyFont="1" applyAlignment="1"/>
    <xf numFmtId="164" fontId="1" fillId="0" borderId="0" xfId="0" applyNumberFormat="1" applyFo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65" fontId="1" fillId="0" borderId="0" xfId="0" applyNumberFormat="1" applyFont="1"/>
    <xf numFmtId="165" fontId="0" fillId="0" borderId="0" xfId="0" applyNumberFormat="1" applyFont="1" applyAlignment="1"/>
    <xf numFmtId="166" fontId="0" fillId="0" borderId="0" xfId="0" applyNumberFormat="1" applyFont="1" applyAlignment="1"/>
    <xf numFmtId="0" fontId="0" fillId="0" borderId="0" xfId="0" pivotButton="1" applyFont="1" applyAlignment="1">
      <alignment horizontal="center"/>
    </xf>
    <xf numFmtId="166" fontId="0" fillId="0" borderId="0" xfId="1" applyNumberFormat="1" applyFont="1" applyAlignment="1"/>
    <xf numFmtId="167" fontId="0" fillId="0" borderId="0" xfId="2" applyNumberFormat="1" applyFont="1" applyAlignment="1"/>
    <xf numFmtId="0" fontId="0" fillId="0" borderId="0" xfId="0" applyFont="1" applyAlignment="1">
      <alignment horizontal="left" indent="1"/>
    </xf>
  </cellXfs>
  <cellStyles count="3">
    <cellStyle name="Comma" xfId="2" builtinId="3"/>
    <cellStyle name="Currency" xfId="1" builtinId="4"/>
    <cellStyle name="Normal" xfId="0" builtinId="0"/>
  </cellStyles>
  <dxfs count="171">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6" formatCode="_(&quot;$&quot;* #,##0_);_(&quot;$&quot;* \(#,##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4" formatCode="_(&quot;$&quot;* #,##0.00_);_(&quot;$&quot;* \(#,##0.00\);_(&quot;$&quot;* &quot;-&quot;??_);_(@_)"/>
    </dxf>
    <dxf>
      <numFmt numFmtId="166" formatCode="_(&quot;$&quot;* #,##0_);_(&quot;$&quot;* \(#,##0\);_(&quot;$&quot;* &quot;-&quot;??_);_(@_)"/>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Dataset.xlsx]Calculations!PivotTable5</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Calculations!$K$3</c:f>
              <c:strCache>
                <c:ptCount val="1"/>
                <c:pt idx="0">
                  <c:v>Total</c:v>
                </c:pt>
              </c:strCache>
            </c:strRef>
          </c:tx>
          <c:spPr>
            <a:solidFill>
              <a:schemeClr val="accent1"/>
            </a:solidFill>
            <a:ln>
              <a:noFill/>
            </a:ln>
            <a:effectLst/>
          </c:spPr>
          <c:invertIfNegative val="0"/>
          <c:cat>
            <c:strRef>
              <c:f>Calculations!$J$4:$J$11</c:f>
              <c:strCache>
                <c:ptCount val="7"/>
                <c:pt idx="0">
                  <c:v>Human Resource Dept.</c:v>
                </c:pt>
                <c:pt idx="1">
                  <c:v>Administration Dept.</c:v>
                </c:pt>
                <c:pt idx="2">
                  <c:v>Engineering</c:v>
                </c:pt>
                <c:pt idx="3">
                  <c:v>PMC &amp; Warehouse Dept.</c:v>
                </c:pt>
                <c:pt idx="4">
                  <c:v>Packing Dept.</c:v>
                </c:pt>
                <c:pt idx="5">
                  <c:v>Quality Dept.</c:v>
                </c:pt>
                <c:pt idx="6">
                  <c:v>Production Dept.</c:v>
                </c:pt>
              </c:strCache>
            </c:strRef>
          </c:cat>
          <c:val>
            <c:numRef>
              <c:f>Calculations!$K$4:$K$11</c:f>
              <c:numCache>
                <c:formatCode>General</c:formatCode>
                <c:ptCount val="7"/>
                <c:pt idx="0">
                  <c:v>1</c:v>
                </c:pt>
                <c:pt idx="1">
                  <c:v>3</c:v>
                </c:pt>
                <c:pt idx="2">
                  <c:v>3</c:v>
                </c:pt>
                <c:pt idx="3">
                  <c:v>28</c:v>
                </c:pt>
                <c:pt idx="4">
                  <c:v>93</c:v>
                </c:pt>
                <c:pt idx="5">
                  <c:v>126</c:v>
                </c:pt>
                <c:pt idx="6">
                  <c:v>153</c:v>
                </c:pt>
              </c:numCache>
            </c:numRef>
          </c:val>
          <c:extLst>
            <c:ext xmlns:c16="http://schemas.microsoft.com/office/drawing/2014/chart" uri="{C3380CC4-5D6E-409C-BE32-E72D297353CC}">
              <c16:uniqueId val="{00000000-4B1A-4428-8D4C-019F2D461626}"/>
            </c:ext>
          </c:extLst>
        </c:ser>
        <c:dLbls>
          <c:showLegendKey val="0"/>
          <c:showVal val="0"/>
          <c:showCatName val="0"/>
          <c:showSerName val="0"/>
          <c:showPercent val="0"/>
          <c:showBubbleSize val="0"/>
        </c:dLbls>
        <c:gapWidth val="182"/>
        <c:axId val="182647759"/>
        <c:axId val="182648239"/>
      </c:barChart>
      <c:catAx>
        <c:axId val="18264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2648239"/>
        <c:crosses val="autoZero"/>
        <c:auto val="1"/>
        <c:lblAlgn val="ctr"/>
        <c:lblOffset val="100"/>
        <c:noMultiLvlLbl val="0"/>
      </c:catAx>
      <c:valAx>
        <c:axId val="18264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264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Dataset.xlsx]Calculations!PivotTable7</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Average Salary by Designation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Calculations!$Q$3</c:f>
              <c:strCache>
                <c:ptCount val="1"/>
                <c:pt idx="0">
                  <c:v>Total</c:v>
                </c:pt>
              </c:strCache>
            </c:strRef>
          </c:tx>
          <c:spPr>
            <a:solidFill>
              <a:schemeClr val="accent1"/>
            </a:solidFill>
            <a:ln>
              <a:noFill/>
            </a:ln>
            <a:effectLst/>
          </c:spPr>
          <c:invertIfNegative val="0"/>
          <c:cat>
            <c:strRef>
              <c:f>Calculations!$P$4:$P$14</c:f>
              <c:strCache>
                <c:ptCount val="10"/>
                <c:pt idx="0">
                  <c:v>Assistant Leader</c:v>
                </c:pt>
                <c:pt idx="1">
                  <c:v>Assistant Manager</c:v>
                </c:pt>
                <c:pt idx="2">
                  <c:v>Cleaner</c:v>
                </c:pt>
                <c:pt idx="3">
                  <c:v>Executive</c:v>
                </c:pt>
                <c:pt idx="4">
                  <c:v>Line Leader</c:v>
                </c:pt>
                <c:pt idx="5">
                  <c:v>Line Operator</c:v>
                </c:pt>
                <c:pt idx="6">
                  <c:v>Loader</c:v>
                </c:pt>
                <c:pt idx="7">
                  <c:v>Manager</c:v>
                </c:pt>
                <c:pt idx="8">
                  <c:v>Senior Executive</c:v>
                </c:pt>
                <c:pt idx="9">
                  <c:v>Support Staff</c:v>
                </c:pt>
              </c:strCache>
            </c:strRef>
          </c:cat>
          <c:val>
            <c:numRef>
              <c:f>Calculations!$Q$4:$Q$14</c:f>
              <c:numCache>
                <c:formatCode>_("$"* #,##0_);_("$"* \(#,##0\);_("$"* "-"??_);_(@_)</c:formatCode>
                <c:ptCount val="10"/>
                <c:pt idx="0">
                  <c:v>12600</c:v>
                </c:pt>
                <c:pt idx="1">
                  <c:v>12500</c:v>
                </c:pt>
                <c:pt idx="2">
                  <c:v>30000</c:v>
                </c:pt>
                <c:pt idx="3">
                  <c:v>5653.9333333333334</c:v>
                </c:pt>
                <c:pt idx="4">
                  <c:v>10363.636363636364</c:v>
                </c:pt>
                <c:pt idx="5">
                  <c:v>16832.975069252079</c:v>
                </c:pt>
                <c:pt idx="6">
                  <c:v>10000</c:v>
                </c:pt>
                <c:pt idx="7">
                  <c:v>9057.4</c:v>
                </c:pt>
                <c:pt idx="8">
                  <c:v>7000</c:v>
                </c:pt>
                <c:pt idx="9">
                  <c:v>30000</c:v>
                </c:pt>
              </c:numCache>
            </c:numRef>
          </c:val>
          <c:extLst>
            <c:ext xmlns:c16="http://schemas.microsoft.com/office/drawing/2014/chart" uri="{C3380CC4-5D6E-409C-BE32-E72D297353CC}">
              <c16:uniqueId val="{00000000-5B13-4C58-A0B1-631120311CAF}"/>
            </c:ext>
          </c:extLst>
        </c:ser>
        <c:dLbls>
          <c:showLegendKey val="0"/>
          <c:showVal val="0"/>
          <c:showCatName val="0"/>
          <c:showSerName val="0"/>
          <c:showPercent val="0"/>
          <c:showBubbleSize val="0"/>
        </c:dLbls>
        <c:gapWidth val="182"/>
        <c:axId val="89983887"/>
        <c:axId val="89981967"/>
      </c:barChart>
      <c:catAx>
        <c:axId val="8998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981967"/>
        <c:crosses val="autoZero"/>
        <c:auto val="1"/>
        <c:lblAlgn val="ctr"/>
        <c:lblOffset val="100"/>
        <c:noMultiLvlLbl val="0"/>
      </c:catAx>
      <c:valAx>
        <c:axId val="8998196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98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Dataset.xlsx]Calculations!PivotTable6</c:name>
    <c:fmtId val="6"/>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Gender/Employee Type</a:t>
            </a:r>
          </a:p>
        </c:rich>
      </c:tx>
      <c:layout>
        <c:manualLayout>
          <c:xMode val="edge"/>
          <c:yMode val="edge"/>
          <c:x val="3.9683621298707825E-2"/>
          <c:y val="4.1666666666666664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Calculations!$T$3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27-475A-BA39-C81C14E8C9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27-475A-BA39-C81C14E8C9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27-475A-BA39-C81C14E8C9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27-475A-BA39-C81C14E8C9C9}"/>
              </c:ext>
            </c:extLst>
          </c:dPt>
          <c:dLbls>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Calculations!$S$4:$S$10</c:f>
              <c:multiLvlStrCache>
                <c:ptCount val="4"/>
                <c:lvl>
                  <c:pt idx="0">
                    <c:v>Permanent</c:v>
                  </c:pt>
                  <c:pt idx="1">
                    <c:v>Probation</c:v>
                  </c:pt>
                  <c:pt idx="2">
                    <c:v>Permanent</c:v>
                  </c:pt>
                  <c:pt idx="3">
                    <c:v>Probation</c:v>
                  </c:pt>
                </c:lvl>
                <c:lvl>
                  <c:pt idx="0">
                    <c:v>Female</c:v>
                  </c:pt>
                  <c:pt idx="2">
                    <c:v>Male</c:v>
                  </c:pt>
                </c:lvl>
              </c:multiLvlStrCache>
            </c:multiLvlStrRef>
          </c:cat>
          <c:val>
            <c:numRef>
              <c:f>Calculations!$T$4:$T$10</c:f>
              <c:numCache>
                <c:formatCode>General</c:formatCode>
                <c:ptCount val="4"/>
                <c:pt idx="0">
                  <c:v>1</c:v>
                </c:pt>
                <c:pt idx="1">
                  <c:v>137</c:v>
                </c:pt>
                <c:pt idx="2">
                  <c:v>20</c:v>
                </c:pt>
                <c:pt idx="3">
                  <c:v>249</c:v>
                </c:pt>
              </c:numCache>
            </c:numRef>
          </c:val>
          <c:extLst>
            <c:ext xmlns:c16="http://schemas.microsoft.com/office/drawing/2014/chart" uri="{C3380CC4-5D6E-409C-BE32-E72D297353CC}">
              <c16:uniqueId val="{00000008-BE27-475A-BA39-C81C14E8C9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Dataset.xlsx]Calculations!PivotTable8</c:name>
    <c:fmtId val="6"/>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Joiners by Month</a:t>
            </a:r>
          </a:p>
        </c:rich>
      </c:tx>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Calculations!$N$3</c:f>
              <c:strCache>
                <c:ptCount val="1"/>
                <c:pt idx="0">
                  <c:v>Total</c:v>
                </c:pt>
              </c:strCache>
            </c:strRef>
          </c:tx>
          <c:spPr>
            <a:ln w="28575" cap="rnd">
              <a:solidFill>
                <a:schemeClr val="accent1"/>
              </a:solidFill>
              <a:round/>
            </a:ln>
            <a:effectLst/>
          </c:spPr>
          <c:marker>
            <c:symbol val="none"/>
          </c:marker>
          <c:cat>
            <c:strRef>
              <c:f>Calculations!$M$4:$M$15</c:f>
              <c:strCache>
                <c:ptCount val="11"/>
                <c:pt idx="0">
                  <c:v>Jan</c:v>
                </c:pt>
                <c:pt idx="1">
                  <c:v>Feb</c:v>
                </c:pt>
                <c:pt idx="2">
                  <c:v>Mar</c:v>
                </c:pt>
                <c:pt idx="3">
                  <c:v>Apr</c:v>
                </c:pt>
                <c:pt idx="4">
                  <c:v>May</c:v>
                </c:pt>
                <c:pt idx="5">
                  <c:v>Jun</c:v>
                </c:pt>
                <c:pt idx="6">
                  <c:v>Jul</c:v>
                </c:pt>
                <c:pt idx="7">
                  <c:v>Aug</c:v>
                </c:pt>
                <c:pt idx="8">
                  <c:v>Sep</c:v>
                </c:pt>
                <c:pt idx="9">
                  <c:v>Nov</c:v>
                </c:pt>
                <c:pt idx="10">
                  <c:v>Dec</c:v>
                </c:pt>
              </c:strCache>
            </c:strRef>
          </c:cat>
          <c:val>
            <c:numRef>
              <c:f>Calculations!$N$4:$N$15</c:f>
              <c:numCache>
                <c:formatCode>General</c:formatCode>
                <c:ptCount val="11"/>
                <c:pt idx="0">
                  <c:v>74</c:v>
                </c:pt>
                <c:pt idx="1">
                  <c:v>43</c:v>
                </c:pt>
                <c:pt idx="2">
                  <c:v>2</c:v>
                </c:pt>
                <c:pt idx="3">
                  <c:v>1</c:v>
                </c:pt>
                <c:pt idx="4">
                  <c:v>1</c:v>
                </c:pt>
                <c:pt idx="5">
                  <c:v>7</c:v>
                </c:pt>
                <c:pt idx="6">
                  <c:v>12</c:v>
                </c:pt>
                <c:pt idx="7">
                  <c:v>2</c:v>
                </c:pt>
                <c:pt idx="8">
                  <c:v>1</c:v>
                </c:pt>
                <c:pt idx="9">
                  <c:v>2</c:v>
                </c:pt>
                <c:pt idx="10">
                  <c:v>262</c:v>
                </c:pt>
              </c:numCache>
            </c:numRef>
          </c:val>
          <c:smooth val="0"/>
          <c:extLst>
            <c:ext xmlns:c16="http://schemas.microsoft.com/office/drawing/2014/chart" uri="{C3380CC4-5D6E-409C-BE32-E72D297353CC}">
              <c16:uniqueId val="{00000000-CD3F-4AEB-BA07-EDB58F0930EC}"/>
            </c:ext>
          </c:extLst>
        </c:ser>
        <c:dLbls>
          <c:showLegendKey val="0"/>
          <c:showVal val="0"/>
          <c:showCatName val="0"/>
          <c:showSerName val="0"/>
          <c:showPercent val="0"/>
          <c:showBubbleSize val="0"/>
        </c:dLbls>
        <c:smooth val="0"/>
        <c:axId val="228039183"/>
        <c:axId val="257185823"/>
      </c:lineChart>
      <c:catAx>
        <c:axId val="22803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57185823"/>
        <c:crosses val="autoZero"/>
        <c:auto val="1"/>
        <c:lblAlgn val="ctr"/>
        <c:lblOffset val="100"/>
        <c:noMultiLvlLbl val="0"/>
      </c:catAx>
      <c:valAx>
        <c:axId val="25718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2803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0</xdr:col>
      <xdr:colOff>189652</xdr:colOff>
      <xdr:row>0</xdr:row>
      <xdr:rowOff>124358</xdr:rowOff>
    </xdr:from>
    <xdr:ext cx="12950615" cy="878095"/>
    <xdr:sp macro="" textlink="">
      <xdr:nvSpPr>
        <xdr:cNvPr id="2" name="TextBox 1">
          <a:extLst>
            <a:ext uri="{FF2B5EF4-FFF2-40B4-BE49-F238E27FC236}">
              <a16:creationId xmlns:a16="http://schemas.microsoft.com/office/drawing/2014/main" id="{1068ABA1-ED12-DDA3-F04E-74F5BA931604}"/>
            </a:ext>
          </a:extLst>
        </xdr:cNvPr>
        <xdr:cNvSpPr txBox="1"/>
      </xdr:nvSpPr>
      <xdr:spPr>
        <a:xfrm>
          <a:off x="189652" y="124358"/>
          <a:ext cx="12950615" cy="878095"/>
        </a:xfrm>
        <a:prstGeom prst="rect">
          <a:avLst/>
        </a:prstGeom>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pPr algn="ctr"/>
          <a:r>
            <a:rPr lang="en-US" sz="3600">
              <a:latin typeface="Arial Black" panose="020B0A04020102020204" pitchFamily="34" charset="0"/>
            </a:rPr>
            <a:t>HR Analytics Dashboard</a:t>
          </a:r>
        </a:p>
      </xdr:txBody>
    </xdr:sp>
    <xdr:clientData/>
  </xdr:oneCellAnchor>
  <xdr:twoCellAnchor>
    <xdr:from>
      <xdr:col>0</xdr:col>
      <xdr:colOff>207722</xdr:colOff>
      <xdr:row>5</xdr:row>
      <xdr:rowOff>176837</xdr:rowOff>
    </xdr:from>
    <xdr:to>
      <xdr:col>5</xdr:col>
      <xdr:colOff>207722</xdr:colOff>
      <xdr:row>15</xdr:row>
      <xdr:rowOff>176837</xdr:rowOff>
    </xdr:to>
    <xdr:grpSp>
      <xdr:nvGrpSpPr>
        <xdr:cNvPr id="9" name="Group 8">
          <a:extLst>
            <a:ext uri="{FF2B5EF4-FFF2-40B4-BE49-F238E27FC236}">
              <a16:creationId xmlns:a16="http://schemas.microsoft.com/office/drawing/2014/main" id="{F85C6519-AA39-BAF7-6636-7950ADA6127D}"/>
            </a:ext>
          </a:extLst>
        </xdr:cNvPr>
        <xdr:cNvGrpSpPr/>
      </xdr:nvGrpSpPr>
      <xdr:grpSpPr>
        <a:xfrm>
          <a:off x="207722" y="1075195"/>
          <a:ext cx="3208421" cy="1796716"/>
          <a:chOff x="351416" y="1161826"/>
          <a:chExt cx="1735569" cy="1262230"/>
        </a:xfrm>
      </xdr:grpSpPr>
      <xdr:sp macro="" textlink="">
        <xdr:nvSpPr>
          <xdr:cNvPr id="3" name="Rectangle 2">
            <a:extLst>
              <a:ext uri="{FF2B5EF4-FFF2-40B4-BE49-F238E27FC236}">
                <a16:creationId xmlns:a16="http://schemas.microsoft.com/office/drawing/2014/main" id="{FB1D6DC8-8667-4152-89AB-D27D59E21686}"/>
              </a:ext>
            </a:extLst>
          </xdr:cNvPr>
          <xdr:cNvSpPr/>
        </xdr:nvSpPr>
        <xdr:spPr>
          <a:xfrm>
            <a:off x="351417" y="1161826"/>
            <a:ext cx="1735568" cy="1262230"/>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endParaRPr lang="en-US" sz="1100"/>
          </a:p>
        </xdr:txBody>
      </xdr:sp>
      <xdr:sp macro="" textlink="">
        <xdr:nvSpPr>
          <xdr:cNvPr id="4" name="TextBox 3">
            <a:extLst>
              <a:ext uri="{FF2B5EF4-FFF2-40B4-BE49-F238E27FC236}">
                <a16:creationId xmlns:a16="http://schemas.microsoft.com/office/drawing/2014/main" id="{0141E394-4F92-C027-6BA2-1EA93DE8A093}"/>
              </a:ext>
            </a:extLst>
          </xdr:cNvPr>
          <xdr:cNvSpPr txBox="1"/>
        </xdr:nvSpPr>
        <xdr:spPr>
          <a:xfrm>
            <a:off x="351416" y="1255058"/>
            <a:ext cx="17068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rPr>
              <a:t>Total</a:t>
            </a:r>
            <a:r>
              <a:rPr lang="en-US" sz="1200" b="1" baseline="0"/>
              <a:t> </a:t>
            </a:r>
            <a:r>
              <a:rPr lang="en-US" sz="1200" b="1" baseline="0">
                <a:solidFill>
                  <a:schemeClr val="bg1"/>
                </a:solidFill>
              </a:rPr>
              <a:t>Employees</a:t>
            </a:r>
            <a:endParaRPr lang="en-US" sz="1200" b="1">
              <a:solidFill>
                <a:schemeClr val="bg1"/>
              </a:solidFill>
            </a:endParaRPr>
          </a:p>
        </xdr:txBody>
      </xdr:sp>
      <xdr:sp macro="" textlink="Calculations!$A$5">
        <xdr:nvSpPr>
          <xdr:cNvPr id="6" name="TextBox 5">
            <a:extLst>
              <a:ext uri="{FF2B5EF4-FFF2-40B4-BE49-F238E27FC236}">
                <a16:creationId xmlns:a16="http://schemas.microsoft.com/office/drawing/2014/main" id="{4AD3F804-94B5-DDD9-0DE8-180ABD892095}"/>
              </a:ext>
            </a:extLst>
          </xdr:cNvPr>
          <xdr:cNvSpPr txBox="1"/>
        </xdr:nvSpPr>
        <xdr:spPr>
          <a:xfrm>
            <a:off x="688489" y="1900518"/>
            <a:ext cx="946673" cy="480508"/>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algn="ctr"/>
            <a:fld id="{DF8DF382-A241-493E-98E4-DB983CBED278}" type="TxLink">
              <a:rPr lang="en-US" sz="2800" b="1" i="0" u="none" strike="noStrike">
                <a:solidFill>
                  <a:schemeClr val="bg2"/>
                </a:solidFill>
                <a:latin typeface="Arial" panose="020B0604020202020204" pitchFamily="34" charset="0"/>
                <a:ea typeface="Calibri"/>
                <a:cs typeface="Arial" panose="020B0604020202020204" pitchFamily="34" charset="0"/>
              </a:rPr>
              <a:pPr algn="ctr"/>
              <a:t>407</a:t>
            </a:fld>
            <a:endParaRPr lang="en-US" sz="6600" b="1">
              <a:solidFill>
                <a:schemeClr val="bg2"/>
              </a:solidFill>
              <a:latin typeface="Arial" panose="020B0604020202020204" pitchFamily="34" charset="0"/>
              <a:cs typeface="Arial" panose="020B0604020202020204" pitchFamily="34" charset="0"/>
            </a:endParaRPr>
          </a:p>
        </xdr:txBody>
      </xdr:sp>
      <xdr:pic>
        <xdr:nvPicPr>
          <xdr:cNvPr id="8" name="Graphic 7" descr="Users with solid fill">
            <a:extLst>
              <a:ext uri="{FF2B5EF4-FFF2-40B4-BE49-F238E27FC236}">
                <a16:creationId xmlns:a16="http://schemas.microsoft.com/office/drawing/2014/main" id="{2D5C9A41-C5FE-042E-1E87-7E2045794C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0610" y="1420008"/>
            <a:ext cx="552227" cy="530711"/>
          </a:xfrm>
          <a:prstGeom prst="rect">
            <a:avLst/>
          </a:prstGeom>
        </xdr:spPr>
      </xdr:pic>
    </xdr:grpSp>
    <xdr:clientData/>
  </xdr:twoCellAnchor>
  <xdr:twoCellAnchor>
    <xdr:from>
      <xdr:col>10</xdr:col>
      <xdr:colOff>306634</xdr:colOff>
      <xdr:row>6</xdr:row>
      <xdr:rowOff>7021</xdr:rowOff>
    </xdr:from>
    <xdr:to>
      <xdr:col>15</xdr:col>
      <xdr:colOff>306634</xdr:colOff>
      <xdr:row>16</xdr:row>
      <xdr:rowOff>7021</xdr:rowOff>
    </xdr:to>
    <xdr:grpSp>
      <xdr:nvGrpSpPr>
        <xdr:cNvPr id="17" name="Group 16">
          <a:extLst>
            <a:ext uri="{FF2B5EF4-FFF2-40B4-BE49-F238E27FC236}">
              <a16:creationId xmlns:a16="http://schemas.microsoft.com/office/drawing/2014/main" id="{96CC72F8-936B-47AC-8BD4-3A51295FC6B0}"/>
            </a:ext>
          </a:extLst>
        </xdr:cNvPr>
        <xdr:cNvGrpSpPr/>
      </xdr:nvGrpSpPr>
      <xdr:grpSpPr>
        <a:xfrm>
          <a:off x="6723476" y="1085051"/>
          <a:ext cx="3208421" cy="1796716"/>
          <a:chOff x="3227294" y="1491727"/>
          <a:chExt cx="1735569" cy="1262230"/>
        </a:xfrm>
      </xdr:grpSpPr>
      <xdr:grpSp>
        <xdr:nvGrpSpPr>
          <xdr:cNvPr id="10" name="Group 9">
            <a:extLst>
              <a:ext uri="{FF2B5EF4-FFF2-40B4-BE49-F238E27FC236}">
                <a16:creationId xmlns:a16="http://schemas.microsoft.com/office/drawing/2014/main" id="{4FCB54E6-6D63-48C0-85AB-92547BDBB03F}"/>
              </a:ext>
            </a:extLst>
          </xdr:cNvPr>
          <xdr:cNvGrpSpPr/>
        </xdr:nvGrpSpPr>
        <xdr:grpSpPr>
          <a:xfrm>
            <a:off x="3227294" y="1491727"/>
            <a:ext cx="1735569" cy="1262230"/>
            <a:chOff x="351416" y="1161826"/>
            <a:chExt cx="1735569" cy="1262230"/>
          </a:xfrm>
        </xdr:grpSpPr>
        <xdr:sp macro="" textlink="">
          <xdr:nvSpPr>
            <xdr:cNvPr id="11" name="Rectangle 10">
              <a:extLst>
                <a:ext uri="{FF2B5EF4-FFF2-40B4-BE49-F238E27FC236}">
                  <a16:creationId xmlns:a16="http://schemas.microsoft.com/office/drawing/2014/main" id="{CD2DBAB1-8A37-45B8-B264-8F36F6505CB8}"/>
                </a:ext>
              </a:extLst>
            </xdr:cNvPr>
            <xdr:cNvSpPr/>
          </xdr:nvSpPr>
          <xdr:spPr>
            <a:xfrm>
              <a:off x="351417" y="1161826"/>
              <a:ext cx="1735568" cy="1262230"/>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endParaRPr lang="en-US" sz="1100"/>
            </a:p>
          </xdr:txBody>
        </xdr:sp>
        <xdr:sp macro="" textlink="">
          <xdr:nvSpPr>
            <xdr:cNvPr id="12" name="TextBox 11">
              <a:extLst>
                <a:ext uri="{FF2B5EF4-FFF2-40B4-BE49-F238E27FC236}">
                  <a16:creationId xmlns:a16="http://schemas.microsoft.com/office/drawing/2014/main" id="{0555ED17-48C3-78DE-36FF-8BC05B11DFAF}"/>
                </a:ext>
              </a:extLst>
            </xdr:cNvPr>
            <xdr:cNvSpPr txBox="1"/>
          </xdr:nvSpPr>
          <xdr:spPr>
            <a:xfrm>
              <a:off x="351416" y="1255058"/>
              <a:ext cx="17068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rPr>
                <a:t>Total</a:t>
              </a:r>
              <a:r>
                <a:rPr lang="en-US" sz="1200" b="1" baseline="0">
                  <a:solidFill>
                    <a:schemeClr val="bg1"/>
                  </a:solidFill>
                </a:rPr>
                <a:t> Basic Salary</a:t>
              </a:r>
              <a:endParaRPr lang="en-US" sz="1200" b="1">
                <a:solidFill>
                  <a:schemeClr val="bg1"/>
                </a:solidFill>
              </a:endParaRPr>
            </a:p>
          </xdr:txBody>
        </xdr:sp>
        <xdr:sp macro="" textlink="Calculations!C5">
          <xdr:nvSpPr>
            <xdr:cNvPr id="13" name="TextBox 12">
              <a:extLst>
                <a:ext uri="{FF2B5EF4-FFF2-40B4-BE49-F238E27FC236}">
                  <a16:creationId xmlns:a16="http://schemas.microsoft.com/office/drawing/2014/main" id="{C7DD1C2E-3927-9BB9-6663-00A7987B5984}"/>
                </a:ext>
              </a:extLst>
            </xdr:cNvPr>
            <xdr:cNvSpPr txBox="1"/>
          </xdr:nvSpPr>
          <xdr:spPr>
            <a:xfrm>
              <a:off x="358588" y="1900518"/>
              <a:ext cx="1728395" cy="480508"/>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algn="ctr"/>
              <a:fld id="{58C35913-C6B2-4084-9E63-23EF380592F7}" type="TxLink">
                <a:rPr lang="en-US" sz="2400" b="1" i="0" u="none" strike="noStrike">
                  <a:solidFill>
                    <a:schemeClr val="bg2"/>
                  </a:solidFill>
                  <a:latin typeface="Arial" panose="020B0604020202020204" pitchFamily="34" charset="0"/>
                  <a:ea typeface="Calibri"/>
                  <a:cs typeface="Arial" panose="020B0604020202020204" pitchFamily="34" charset="0"/>
                </a:rPr>
                <a:pPr algn="ctr"/>
                <a:t> 6,539,800 </a:t>
              </a:fld>
              <a:endParaRPr lang="en-US" sz="6000" b="1">
                <a:solidFill>
                  <a:schemeClr val="bg2"/>
                </a:solidFill>
                <a:latin typeface="Arial" panose="020B0604020202020204" pitchFamily="34" charset="0"/>
                <a:cs typeface="Arial" panose="020B0604020202020204" pitchFamily="34" charset="0"/>
              </a:endParaRPr>
            </a:p>
          </xdr:txBody>
        </xdr:sp>
      </xdr:grpSp>
      <xdr:pic>
        <xdr:nvPicPr>
          <xdr:cNvPr id="16" name="Graphic 15" descr="Dollar with solid fill">
            <a:extLst>
              <a:ext uri="{FF2B5EF4-FFF2-40B4-BE49-F238E27FC236}">
                <a16:creationId xmlns:a16="http://schemas.microsoft.com/office/drawing/2014/main" id="{29FCDF98-D965-6C5A-472E-551E9AEA96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79924" y="1828800"/>
            <a:ext cx="380103" cy="380103"/>
          </a:xfrm>
          <a:prstGeom prst="rect">
            <a:avLst/>
          </a:prstGeom>
        </xdr:spPr>
      </xdr:pic>
    </xdr:grpSp>
    <xdr:clientData/>
  </xdr:twoCellAnchor>
  <xdr:twoCellAnchor>
    <xdr:from>
      <xdr:col>15</xdr:col>
      <xdr:colOff>335374</xdr:colOff>
      <xdr:row>6</xdr:row>
      <xdr:rowOff>7020</xdr:rowOff>
    </xdr:from>
    <xdr:to>
      <xdr:col>20</xdr:col>
      <xdr:colOff>335374</xdr:colOff>
      <xdr:row>16</xdr:row>
      <xdr:rowOff>7020</xdr:rowOff>
    </xdr:to>
    <xdr:grpSp>
      <xdr:nvGrpSpPr>
        <xdr:cNvPr id="18" name="Group 17">
          <a:extLst>
            <a:ext uri="{FF2B5EF4-FFF2-40B4-BE49-F238E27FC236}">
              <a16:creationId xmlns:a16="http://schemas.microsoft.com/office/drawing/2014/main" id="{4DC42612-B83C-46B8-9D11-48C66513D311}"/>
            </a:ext>
          </a:extLst>
        </xdr:cNvPr>
        <xdr:cNvGrpSpPr/>
      </xdr:nvGrpSpPr>
      <xdr:grpSpPr>
        <a:xfrm>
          <a:off x="9960637" y="1085050"/>
          <a:ext cx="3208421" cy="1796716"/>
          <a:chOff x="3227294" y="1491727"/>
          <a:chExt cx="1735569" cy="1262230"/>
        </a:xfrm>
      </xdr:grpSpPr>
      <xdr:grpSp>
        <xdr:nvGrpSpPr>
          <xdr:cNvPr id="19" name="Group 18">
            <a:extLst>
              <a:ext uri="{FF2B5EF4-FFF2-40B4-BE49-F238E27FC236}">
                <a16:creationId xmlns:a16="http://schemas.microsoft.com/office/drawing/2014/main" id="{B956CE2C-953F-86D4-C648-DEBD9F767440}"/>
              </a:ext>
            </a:extLst>
          </xdr:cNvPr>
          <xdr:cNvGrpSpPr/>
        </xdr:nvGrpSpPr>
        <xdr:grpSpPr>
          <a:xfrm>
            <a:off x="3227294" y="1491727"/>
            <a:ext cx="1735569" cy="1262230"/>
            <a:chOff x="351416" y="1161826"/>
            <a:chExt cx="1735569" cy="1262230"/>
          </a:xfrm>
        </xdr:grpSpPr>
        <xdr:sp macro="" textlink="">
          <xdr:nvSpPr>
            <xdr:cNvPr id="21" name="Rectangle 20">
              <a:extLst>
                <a:ext uri="{FF2B5EF4-FFF2-40B4-BE49-F238E27FC236}">
                  <a16:creationId xmlns:a16="http://schemas.microsoft.com/office/drawing/2014/main" id="{9FBD8F1A-2557-E5F6-FC77-207F4F571904}"/>
                </a:ext>
              </a:extLst>
            </xdr:cNvPr>
            <xdr:cNvSpPr/>
          </xdr:nvSpPr>
          <xdr:spPr>
            <a:xfrm>
              <a:off x="351417" y="1161826"/>
              <a:ext cx="1735568" cy="1262230"/>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endParaRPr lang="en-US" sz="1100"/>
            </a:p>
          </xdr:txBody>
        </xdr:sp>
        <xdr:sp macro="" textlink="">
          <xdr:nvSpPr>
            <xdr:cNvPr id="22" name="TextBox 21">
              <a:extLst>
                <a:ext uri="{FF2B5EF4-FFF2-40B4-BE49-F238E27FC236}">
                  <a16:creationId xmlns:a16="http://schemas.microsoft.com/office/drawing/2014/main" id="{E53F56A3-09DD-AFB4-462D-B7445D4158BB}"/>
                </a:ext>
              </a:extLst>
            </xdr:cNvPr>
            <xdr:cNvSpPr txBox="1"/>
          </xdr:nvSpPr>
          <xdr:spPr>
            <a:xfrm>
              <a:off x="351416" y="1255058"/>
              <a:ext cx="17068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rPr>
                <a:t>Average Salary</a:t>
              </a:r>
            </a:p>
          </xdr:txBody>
        </xdr:sp>
        <xdr:sp macro="" textlink="Calculations!E5">
          <xdr:nvSpPr>
            <xdr:cNvPr id="23" name="TextBox 22">
              <a:extLst>
                <a:ext uri="{FF2B5EF4-FFF2-40B4-BE49-F238E27FC236}">
                  <a16:creationId xmlns:a16="http://schemas.microsoft.com/office/drawing/2014/main" id="{7E5AD455-6404-4DC2-16C1-221E2D7C1E71}"/>
                </a:ext>
              </a:extLst>
            </xdr:cNvPr>
            <xdr:cNvSpPr txBox="1"/>
          </xdr:nvSpPr>
          <xdr:spPr>
            <a:xfrm>
              <a:off x="358588" y="1900518"/>
              <a:ext cx="1728395" cy="480508"/>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algn="ctr"/>
              <a:fld id="{13298B94-86CE-48F3-862F-730963F4DF6C}" type="TxLink">
                <a:rPr lang="en-US" sz="2800" b="1" i="0" u="none" strike="noStrike">
                  <a:solidFill>
                    <a:schemeClr val="bg2"/>
                  </a:solidFill>
                  <a:latin typeface="Arial" panose="020B0604020202020204" pitchFamily="34" charset="0"/>
                  <a:ea typeface="Calibri"/>
                  <a:cs typeface="Arial" panose="020B0604020202020204" pitchFamily="34" charset="0"/>
                </a:rPr>
                <a:pPr algn="ctr"/>
                <a:t> 16,068 </a:t>
              </a:fld>
              <a:endParaRPr lang="en-US" sz="13800" b="1">
                <a:solidFill>
                  <a:schemeClr val="bg2"/>
                </a:solidFill>
                <a:latin typeface="Arial" panose="020B0604020202020204" pitchFamily="34" charset="0"/>
                <a:cs typeface="Arial" panose="020B0604020202020204" pitchFamily="34" charset="0"/>
              </a:endParaRPr>
            </a:p>
          </xdr:txBody>
        </xdr:sp>
      </xdr:grpSp>
      <xdr:pic>
        <xdr:nvPicPr>
          <xdr:cNvPr id="20" name="Graphic 19" descr="Dollar with solid fill">
            <a:extLst>
              <a:ext uri="{FF2B5EF4-FFF2-40B4-BE49-F238E27FC236}">
                <a16:creationId xmlns:a16="http://schemas.microsoft.com/office/drawing/2014/main" id="{60314899-BC94-7538-61B2-30BA139C41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79924" y="1828800"/>
            <a:ext cx="380103" cy="380103"/>
          </a:xfrm>
          <a:prstGeom prst="rect">
            <a:avLst/>
          </a:prstGeom>
        </xdr:spPr>
      </xdr:pic>
    </xdr:grpSp>
    <xdr:clientData/>
  </xdr:twoCellAnchor>
  <xdr:twoCellAnchor>
    <xdr:from>
      <xdr:col>5</xdr:col>
      <xdr:colOff>246007</xdr:colOff>
      <xdr:row>5</xdr:row>
      <xdr:rowOff>176838</xdr:rowOff>
    </xdr:from>
    <xdr:to>
      <xdr:col>10</xdr:col>
      <xdr:colOff>246007</xdr:colOff>
      <xdr:row>15</xdr:row>
      <xdr:rowOff>176838</xdr:rowOff>
    </xdr:to>
    <xdr:grpSp>
      <xdr:nvGrpSpPr>
        <xdr:cNvPr id="24" name="Group 23">
          <a:extLst>
            <a:ext uri="{FF2B5EF4-FFF2-40B4-BE49-F238E27FC236}">
              <a16:creationId xmlns:a16="http://schemas.microsoft.com/office/drawing/2014/main" id="{4C966FAB-37B8-4CD6-B2A3-123996537CD9}"/>
            </a:ext>
          </a:extLst>
        </xdr:cNvPr>
        <xdr:cNvGrpSpPr/>
      </xdr:nvGrpSpPr>
      <xdr:grpSpPr>
        <a:xfrm>
          <a:off x="3454428" y="1075196"/>
          <a:ext cx="3208421" cy="1796716"/>
          <a:chOff x="351416" y="1161826"/>
          <a:chExt cx="1735569" cy="1262230"/>
        </a:xfrm>
      </xdr:grpSpPr>
      <xdr:sp macro="" textlink="">
        <xdr:nvSpPr>
          <xdr:cNvPr id="25" name="Rectangle 24">
            <a:extLst>
              <a:ext uri="{FF2B5EF4-FFF2-40B4-BE49-F238E27FC236}">
                <a16:creationId xmlns:a16="http://schemas.microsoft.com/office/drawing/2014/main" id="{CDF1F84A-9161-D137-DDAD-D29D5AA9AC79}"/>
              </a:ext>
            </a:extLst>
          </xdr:cNvPr>
          <xdr:cNvSpPr/>
        </xdr:nvSpPr>
        <xdr:spPr>
          <a:xfrm>
            <a:off x="351417" y="1161826"/>
            <a:ext cx="1735568" cy="1262230"/>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endParaRPr lang="en-US" sz="1100"/>
          </a:p>
        </xdr:txBody>
      </xdr:sp>
      <xdr:sp macro="" textlink="">
        <xdr:nvSpPr>
          <xdr:cNvPr id="26" name="TextBox 25">
            <a:extLst>
              <a:ext uri="{FF2B5EF4-FFF2-40B4-BE49-F238E27FC236}">
                <a16:creationId xmlns:a16="http://schemas.microsoft.com/office/drawing/2014/main" id="{C7EBB1EF-886E-1DC1-D027-3B7F8C45DCE7}"/>
              </a:ext>
            </a:extLst>
          </xdr:cNvPr>
          <xdr:cNvSpPr txBox="1"/>
        </xdr:nvSpPr>
        <xdr:spPr>
          <a:xfrm>
            <a:off x="351416" y="1255058"/>
            <a:ext cx="17068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rPr>
              <a:t>Active</a:t>
            </a:r>
            <a:r>
              <a:rPr lang="en-US" sz="1200" b="1" baseline="0">
                <a:solidFill>
                  <a:schemeClr val="bg1"/>
                </a:solidFill>
              </a:rPr>
              <a:t> Employees</a:t>
            </a:r>
            <a:endParaRPr lang="en-US" sz="1200" b="1">
              <a:solidFill>
                <a:schemeClr val="bg1"/>
              </a:solidFill>
            </a:endParaRPr>
          </a:p>
        </xdr:txBody>
      </xdr:sp>
      <xdr:sp macro="" textlink="Calculations!G5">
        <xdr:nvSpPr>
          <xdr:cNvPr id="27" name="TextBox 26">
            <a:extLst>
              <a:ext uri="{FF2B5EF4-FFF2-40B4-BE49-F238E27FC236}">
                <a16:creationId xmlns:a16="http://schemas.microsoft.com/office/drawing/2014/main" id="{52C1A5AF-6D5F-EAB0-B450-FDA413F81354}"/>
              </a:ext>
            </a:extLst>
          </xdr:cNvPr>
          <xdr:cNvSpPr txBox="1"/>
        </xdr:nvSpPr>
        <xdr:spPr>
          <a:xfrm>
            <a:off x="688489" y="1900518"/>
            <a:ext cx="946673" cy="480508"/>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algn="ctr"/>
            <a:fld id="{C1E006AC-53BD-40CB-84F0-72F30499BCF7}" type="TxLink">
              <a:rPr lang="en-US" sz="3200" b="1" i="0" u="none" strike="noStrike">
                <a:solidFill>
                  <a:schemeClr val="bg2"/>
                </a:solidFill>
                <a:latin typeface="Arial" panose="020B0604020202020204" pitchFamily="34" charset="0"/>
                <a:ea typeface="Calibri"/>
                <a:cs typeface="Arial" panose="020B0604020202020204" pitchFamily="34" charset="0"/>
              </a:rPr>
              <a:pPr algn="ctr"/>
              <a:t>407</a:t>
            </a:fld>
            <a:endParaRPr lang="en-US" sz="7200" b="1">
              <a:solidFill>
                <a:schemeClr val="bg2"/>
              </a:solidFill>
              <a:latin typeface="Arial" panose="020B0604020202020204" pitchFamily="34" charset="0"/>
              <a:cs typeface="Arial" panose="020B0604020202020204" pitchFamily="34" charset="0"/>
            </a:endParaRPr>
          </a:p>
        </xdr:txBody>
      </xdr:sp>
      <xdr:pic>
        <xdr:nvPicPr>
          <xdr:cNvPr id="28" name="Graphic 27" descr="Users with solid fill">
            <a:extLst>
              <a:ext uri="{FF2B5EF4-FFF2-40B4-BE49-F238E27FC236}">
                <a16:creationId xmlns:a16="http://schemas.microsoft.com/office/drawing/2014/main" id="{E236CB6B-54E2-439B-35D0-39A4015D73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0610" y="1420008"/>
            <a:ext cx="552227" cy="530711"/>
          </a:xfrm>
          <a:prstGeom prst="rect">
            <a:avLst/>
          </a:prstGeom>
        </xdr:spPr>
      </xdr:pic>
    </xdr:grpSp>
    <xdr:clientData/>
  </xdr:twoCellAnchor>
  <xdr:twoCellAnchor>
    <xdr:from>
      <xdr:col>0</xdr:col>
      <xdr:colOff>234777</xdr:colOff>
      <xdr:row>16</xdr:row>
      <xdr:rowOff>96030</xdr:rowOff>
    </xdr:from>
    <xdr:to>
      <xdr:col>10</xdr:col>
      <xdr:colOff>234777</xdr:colOff>
      <xdr:row>34</xdr:row>
      <xdr:rowOff>4590</xdr:rowOff>
    </xdr:to>
    <xdr:graphicFrame macro="">
      <xdr:nvGraphicFramePr>
        <xdr:cNvPr id="29" name="Chart 28">
          <a:extLst>
            <a:ext uri="{FF2B5EF4-FFF2-40B4-BE49-F238E27FC236}">
              <a16:creationId xmlns:a16="http://schemas.microsoft.com/office/drawing/2014/main" id="{4E3F1D8E-D211-4A94-BBAF-9E87DB3E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300445</xdr:colOff>
      <xdr:row>16</xdr:row>
      <xdr:rowOff>105207</xdr:rowOff>
    </xdr:from>
    <xdr:to>
      <xdr:col>20</xdr:col>
      <xdr:colOff>300445</xdr:colOff>
      <xdr:row>34</xdr:row>
      <xdr:rowOff>13767</xdr:rowOff>
    </xdr:to>
    <xdr:graphicFrame macro="">
      <xdr:nvGraphicFramePr>
        <xdr:cNvPr id="30" name="Chart 29">
          <a:extLst>
            <a:ext uri="{FF2B5EF4-FFF2-40B4-BE49-F238E27FC236}">
              <a16:creationId xmlns:a16="http://schemas.microsoft.com/office/drawing/2014/main" id="{1BEBD4E7-834D-44E9-9D69-1FDE37DA0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322475</xdr:colOff>
      <xdr:row>34</xdr:row>
      <xdr:rowOff>109728</xdr:rowOff>
    </xdr:from>
    <xdr:to>
      <xdr:col>14</xdr:col>
      <xdr:colOff>321869</xdr:colOff>
      <xdr:row>50</xdr:row>
      <xdr:rowOff>179391</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9E9589B0-FCF7-8F7C-0231-00F042FD5E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739317" y="6218561"/>
              <a:ext cx="2566131" cy="2944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402649</xdr:colOff>
      <xdr:row>34</xdr:row>
      <xdr:rowOff>109728</xdr:rowOff>
    </xdr:from>
    <xdr:to>
      <xdr:col>17</xdr:col>
      <xdr:colOff>303794</xdr:colOff>
      <xdr:row>40</xdr:row>
      <xdr:rowOff>30617</xdr:rowOff>
    </xdr:to>
    <mc:AlternateContent xmlns:mc="http://schemas.openxmlformats.org/markup-compatibility/2006">
      <mc:Choice xmlns:a14="http://schemas.microsoft.com/office/drawing/2010/main" Requires="a14">
        <xdr:graphicFrame macro="">
          <xdr:nvGraphicFramePr>
            <xdr:cNvPr id="7" name="Employee Type">
              <a:extLst>
                <a:ext uri="{FF2B5EF4-FFF2-40B4-BE49-F238E27FC236}">
                  <a16:creationId xmlns:a16="http://schemas.microsoft.com/office/drawing/2014/main" id="{C49B788E-AC51-7C83-6EAA-7F9FB0181202}"/>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dr:sp macro="" textlink="">
          <xdr:nvSpPr>
            <xdr:cNvPr id="0" name=""/>
            <xdr:cNvSpPr>
              <a:spLocks noTextEdit="1"/>
            </xdr:cNvSpPr>
          </xdr:nvSpPr>
          <xdr:spPr>
            <a:xfrm>
              <a:off x="9386228" y="6218561"/>
              <a:ext cx="1826198" cy="998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377407</xdr:colOff>
      <xdr:row>34</xdr:row>
      <xdr:rowOff>116194</xdr:rowOff>
    </xdr:from>
    <xdr:to>
      <xdr:col>20</xdr:col>
      <xdr:colOff>278555</xdr:colOff>
      <xdr:row>50</xdr:row>
      <xdr:rowOff>160933</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E7587415-2F13-099C-4A4A-BB2FF10F232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286039" y="6225027"/>
              <a:ext cx="1826200" cy="2919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403100</xdr:colOff>
      <xdr:row>40</xdr:row>
      <xdr:rowOff>103163</xdr:rowOff>
    </xdr:from>
    <xdr:to>
      <xdr:col>17</xdr:col>
      <xdr:colOff>304244</xdr:colOff>
      <xdr:row>50</xdr:row>
      <xdr:rowOff>175565</xdr:rowOff>
    </xdr:to>
    <mc:AlternateContent xmlns:mc="http://schemas.openxmlformats.org/markup-compatibility/2006">
      <mc:Choice xmlns:a14="http://schemas.microsoft.com/office/drawing/2010/main" Requires="a14">
        <xdr:graphicFrame macro="">
          <xdr:nvGraphicFramePr>
            <xdr:cNvPr id="15" name="Working status">
              <a:extLst>
                <a:ext uri="{FF2B5EF4-FFF2-40B4-BE49-F238E27FC236}">
                  <a16:creationId xmlns:a16="http://schemas.microsoft.com/office/drawing/2014/main" id="{61D653C5-3FBD-EABC-4A37-C6D3DB834DB7}"/>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dr:sp macro="" textlink="">
          <xdr:nvSpPr>
            <xdr:cNvPr id="0" name=""/>
            <xdr:cNvSpPr>
              <a:spLocks noTextEdit="1"/>
            </xdr:cNvSpPr>
          </xdr:nvSpPr>
          <xdr:spPr>
            <a:xfrm>
              <a:off x="9386679" y="7290026"/>
              <a:ext cx="1826197" cy="186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235133</xdr:colOff>
      <xdr:row>34</xdr:row>
      <xdr:rowOff>78377</xdr:rowOff>
    </xdr:from>
    <xdr:to>
      <xdr:col>10</xdr:col>
      <xdr:colOff>235132</xdr:colOff>
      <xdr:row>51</xdr:row>
      <xdr:rowOff>0</xdr:rowOff>
    </xdr:to>
    <xdr:graphicFrame macro="">
      <xdr:nvGraphicFramePr>
        <xdr:cNvPr id="31" name="Chart 30">
          <a:extLst>
            <a:ext uri="{FF2B5EF4-FFF2-40B4-BE49-F238E27FC236}">
              <a16:creationId xmlns:a16="http://schemas.microsoft.com/office/drawing/2014/main" id="{1596A85F-1A2C-4B24-8E28-C5766602C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51</xdr:row>
      <xdr:rowOff>76199</xdr:rowOff>
    </xdr:from>
    <xdr:to>
      <xdr:col>20</xdr:col>
      <xdr:colOff>259080</xdr:colOff>
      <xdr:row>75</xdr:row>
      <xdr:rowOff>15240</xdr:rowOff>
    </xdr:to>
    <xdr:graphicFrame macro="">
      <xdr:nvGraphicFramePr>
        <xdr:cNvPr id="32" name="Chart 31">
          <a:extLst>
            <a:ext uri="{FF2B5EF4-FFF2-40B4-BE49-F238E27FC236}">
              <a16:creationId xmlns:a16="http://schemas.microsoft.com/office/drawing/2014/main" id="{E07C019D-5D47-422A-B651-4CE185C2E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tahid Hassan Sajid" refreshedDate="46106.801946990738" createdVersion="8" refreshedVersion="8" minRefreshableVersion="3" recordCount="409" xr:uid="{50D52704-9ADE-4282-90E1-4D3FFD2554FB}">
  <cacheSource type="worksheet">
    <worksheetSource name="Table1"/>
  </cacheSource>
  <cacheFields count="18">
    <cacheField name="ID" numFmtId="0">
      <sharedItems/>
    </cacheField>
    <cacheField name="Name" numFmtId="0">
      <sharedItems count="364">
        <s v="Shanta Priya"/>
        <s v="Md. Abdul Kader"/>
        <s v="Md. Sagor Hossain"/>
        <s v="Masud Islam Fahim"/>
        <s v="Md. Manik Mia"/>
        <s v="Md. Shajibur Rahaman"/>
        <s v="Limon"/>
        <s v="Arman Hossen"/>
        <s v="Md. Raju Mia"/>
        <s v="Md. Ammar Hossain"/>
        <s v="Nadim Al Kamal Murad"/>
        <s v="Manik Sharker"/>
        <s v="Samiul Hoque"/>
        <s v="Rashid Mahmud"/>
        <s v="Md. Riad Hasan"/>
        <s v="Md. Junied Mahtav Muin"/>
        <s v="Mst. Muslima"/>
        <s v="Md. Jahid Hasan Joy"/>
        <s v="Reduyan Ahmed Ajmir"/>
        <s v="Md. Sajib Hossain"/>
        <s v="Rayhan Habib"/>
        <s v="Md. Al Amin Hossain Shanto"/>
        <s v="Nazmul Islam"/>
        <s v="Pallab Bhowmick"/>
        <s v="Md.Aminur Rahman"/>
        <s v="Md.Musfiqur Rahman"/>
        <s v="Md.Maruf Hossen"/>
        <s v="Nazmul Hossain"/>
        <s v="Shohag"/>
        <s v="Nazmul Hosasain"/>
        <s v="Sujon Mia"/>
        <s v="Shourov Miah"/>
        <s v="Abdul Kayyum"/>
        <s v="Aminul Islam"/>
        <s v="Rafiu Ahmed"/>
        <s v="Rubel Rana"/>
        <s v="Toyon Babu"/>
        <s v="Md. Sanoar Islam Shadin"/>
        <s v="Mizanur Rahman "/>
        <s v="Tanjim Ahmed"/>
        <s v="Sahara Akter Bristy"/>
        <s v="Shahadat Hossain"/>
        <s v="Nittananda Das"/>
        <s v="Milon Hossain "/>
        <s v="Hassan Mahmud"/>
        <s v="Mst. Happy"/>
        <s v="Kamrul Hasan"/>
        <s v="Mahenur Islam"/>
        <s v="Md. Samiul Islam"/>
        <s v="Sohana akter sonia"/>
        <s v="Ananna Pervin"/>
        <s v="Sorovi"/>
        <s v="Kulsum Akter"/>
        <s v="Antora Khatun"/>
        <s v="Rokrya Akter Eti"/>
        <s v="Sumaiya Khanom"/>
        <s v="Sumaya Akter"/>
        <s v="Armina Akter Akhi"/>
        <s v="Md. Nadim Mahmud"/>
        <s v="Md. Minhajul Islam"/>
        <s v="Md. Yousuf Ali"/>
        <s v="Md. Nafish Muthashim Ratul"/>
        <s v="Md. Babu Mia"/>
        <s v="Hasi Akter"/>
        <s v="Sumon Mia"/>
        <s v="Rakibul Islam"/>
        <s v="Sudip Chandra "/>
        <s v="Merajul "/>
        <s v="Rashedul Islam"/>
        <s v="Shamim Hossen"/>
        <s v="Mahafuj Zim Megh"/>
        <s v="Tarikul Islam"/>
        <s v="Md. Mahfujur Rahman"/>
        <s v="Prarvin Akter"/>
        <s v="Mahmudul Hasan"/>
        <s v="Mehedi Hasan Shanto"/>
        <s v="Safikul Islam Emon"/>
        <s v="Nazmul Islam Emon"/>
        <s v="Junaed Hasan"/>
        <s v="Din Mohammed Rabbi"/>
        <s v="Fazlul Haque"/>
        <s v="Md. Faruk Hossain"/>
        <s v="Md. Shihab Uddin"/>
        <s v="Masum Rana"/>
        <s v="Md. Imran Hossain"/>
        <s v="Mahafuzur Rahman"/>
        <s v="Md. Shahrier Nayeem"/>
        <s v="Faysal Hossain"/>
        <s v="Sabbir Hossain Sagor"/>
        <s v="Faysal Mahamud"/>
        <s v="Sojib Hossain"/>
        <s v="Rahul Mia"/>
        <s v="Munni Akter"/>
        <s v="Tonima Shams"/>
        <s v="Nadia Sultana Beauty"/>
        <s v="Samsur Rahman Shakil"/>
        <s v="Md. Nahid Hasan Shaon"/>
        <s v="Hossen"/>
        <s v="Mohibul Hasan"/>
        <s v="Md. Farhad Mia"/>
        <s v="Md. Limon Miah"/>
        <s v="Md. Nazmul Hossain"/>
        <s v="Md. Nahidul Islam"/>
        <s v="Mst. Nowshin Akter"/>
        <s v="Nowshad Jahan"/>
        <s v="Khadija Akter Mukta"/>
        <s v="Rafia Sultana Rabu"/>
        <s v="Most. Asrifa Jarin"/>
        <s v="Sumaya Akter Suma"/>
        <s v="Mst. Lucky Khatun"/>
        <s v="Fardus Ahmed"/>
        <s v="Md. Alamin"/>
        <s v="Md. Nosib Uddin"/>
        <s v="Md. Mostafizur Rahman"/>
        <s v="Md. Habibur Rahman Habib"/>
        <s v="Asif Khan Jihad"/>
        <s v="Md. Rasel Mia"/>
        <s v="Apu Kumar Shaha"/>
        <s v="Ashraful Islam"/>
        <s v="Md. Abdul Matin"/>
        <s v="Samia Akter"/>
        <s v="Md. Jahid Hossain Mamun"/>
        <s v="Elias Hossain"/>
        <s v="Md. Shohan Mia"/>
        <s v="Md. Shahariyer Hasan Fahim Khondoker"/>
        <s v="Abu Hanif Sarker"/>
        <s v="Monirul Islam"/>
        <s v="Nadim Hossain"/>
        <s v="Ismail Jofiullah"/>
        <s v="Md. Shahparan Hossen"/>
        <s v="Khadiza Khatun"/>
        <s v="Sultana Razia"/>
        <s v="Kamrun Nahar Dipti"/>
        <s v="Jafrina Alam Jannat"/>
        <s v="Tania Akter"/>
        <s v="Razia"/>
        <s v="Shamir Das"/>
        <s v="Nurul Islam"/>
        <s v="Murshida Khatun"/>
        <s v="Nilufa Akter Lily"/>
        <s v="Modina Chowdhury"/>
        <s v="Md. Ali Al Nur Mahi"/>
        <s v="Md. Mehedi Hassan"/>
        <s v="Hasnat Shah Emon"/>
        <s v="Al Amin"/>
        <s v="Md. Borhan Miah"/>
        <s v="Rasidul Islam"/>
        <s v="Most. Tania Sultana"/>
        <s v="Khadiza Akter"/>
        <s v="Amina Akter"/>
        <s v="Sagar Raha"/>
        <s v="Md. Shamim Hossain"/>
        <s v="Md. Rofiqul Islam Khan"/>
        <s v="Sifat Ullah Chowdury"/>
        <s v="Mamun Mia"/>
        <s v="Md. Rasel Sikdar"/>
        <s v="Gulshan Negar Khan Tumpa"/>
        <s v="Aysha Akter"/>
        <s v="Mosammad Shamsunnahar"/>
        <s v="Jannatul Ferdusy Keya"/>
        <s v="Fatama Akter Mitu"/>
        <s v="Mst. Rupali Akter"/>
        <s v="Monira Akter"/>
        <s v="Shawon Kabir Hira"/>
        <s v="Md. Raihanul Haque"/>
        <s v="Swapna Akter Runa"/>
        <s v="Mst. Liza Moni"/>
        <s v="Sathia Akter"/>
        <s v="Sumaya Shemu"/>
        <s v="Aktarina Khatun"/>
        <s v="Simanto Roy"/>
        <s v="Atikur Rahman"/>
        <s v="Tahmina Akter"/>
        <s v="Tahia Akther Dina"/>
        <s v="Shabnur Akter"/>
        <s v="Prity Rani sarker"/>
        <s v="Mursheda"/>
        <s v="Zakia akter Jui"/>
        <s v="Sultan Mahmud"/>
        <s v="Shakil Mia"/>
        <s v="Md. Chonok Mia"/>
        <s v="Md. Suhad Un Nabby Sohag"/>
        <s v="Md. Hridoy Mia"/>
        <s v="Rafiqul Islam Rabbi"/>
        <s v="Sumaiya Akter"/>
        <s v="Md. Mamunur Rashid Mamun"/>
        <s v="Md. Monir Uzzaman"/>
        <s v="Mst. Monika Akter"/>
        <s v="Md. Ali Hamza Sagor"/>
        <s v="Mehedi Hasan Shahed"/>
        <s v="Shajib Ahmed"/>
        <s v="Md. Parvez"/>
        <s v="Mahfuja Benta Mubarak"/>
        <s v="Most. Saima Khanum Doly"/>
        <s v="Suma Khatun"/>
        <s v="Md. Alek Sardar"/>
        <s v="Md. Zawad Bin Mostafa"/>
        <s v="Marjana"/>
        <s v="Mst. Mim"/>
        <s v="Sumaya Akter Mim"/>
        <s v="Taslima Akter"/>
        <s v="Md. Abu Nayim"/>
        <s v="Tithi Biswas"/>
        <s v="Samapto Bala Uraw"/>
        <s v="Rita Akter Ety"/>
        <s v="Md. Arman Ahmeed"/>
        <s v="G.M Golam Mostafa"/>
        <s v="Meher Afrin Moli"/>
        <s v="Khadija islam Mou"/>
        <s v="Md. Rakibul Hasan"/>
        <s v="Afroja Akter Kona"/>
        <s v="Moriam Akter"/>
        <s v="Md.Naiem Miah"/>
        <s v="Sadhon Kumar Sarker"/>
        <s v="Meghla Akter"/>
        <s v="Naznin Nahar"/>
        <s v="Md. Roni Miah"/>
        <s v="Md. Sujon Mia"/>
        <s v="Md. Masum Mia"/>
        <s v="Mithun Paul"/>
        <s v="Mohammad Billal Hosen"/>
        <s v="Kaiyoum Sikder"/>
        <s v="Md. Antor Ali"/>
        <s v="Md. Shakil Hossain"/>
        <s v="Md. Jehad Hossain"/>
        <s v="Iffatara Mitu"/>
        <s v="Md. Oli Bahar"/>
        <s v="Md. Yamin Hossain"/>
        <s v="Mamunur Rashid"/>
        <s v="Nure Alam Siddiki"/>
        <s v="Rana"/>
        <s v="Choyon Kumar Shill"/>
        <s v="Farhaduzzaman"/>
        <s v="Shahriar Ahmed"/>
        <s v="Md. Tarikul Islam Raju"/>
        <s v="Dipali Akter"/>
        <s v="Monalisa Akter"/>
        <s v="Amena Akter"/>
        <s v="Jannatul Fedous Rumi"/>
        <s v="Parama Biswas"/>
        <s v="Mst. Ummey Habiba"/>
        <s v="Bithe Akter"/>
        <s v="Md. Shohag Shaikh"/>
        <s v="Muni Akter"/>
        <s v="Md. Mahfuzur Rahman"/>
        <s v="Md. Abdul Momin"/>
        <s v="Md. Imam Hossain Siam"/>
        <s v="Rita Akter"/>
        <s v="Tanjina Akter Mukta"/>
        <s v="Mahadi Hasan"/>
        <s v="Md. Sohag"/>
        <s v="Md. Mahafuj Ali"/>
        <s v="Rezaul Islam Sajib"/>
        <s v="Rezuan Ullah"/>
        <s v="Pobitra Chandra"/>
        <s v="Mostafizur Rahman"/>
        <s v="Joy Chondro Dus"/>
        <s v="Hosneara"/>
        <s v="Easha Moni"/>
        <s v="Riad Talukdar"/>
        <s v="Mujahidul Islam"/>
        <s v="Mohon"/>
        <s v="Md. Sujon  Ali Shekh"/>
        <s v="Md. Al Rafi"/>
        <s v="Sakib Ahmed Nobi"/>
        <s v="Md. Zamil Hossen"/>
        <s v="Jannatul Fardaus"/>
        <s v="Roxi Akter Bristi"/>
        <s v="Zahid Hasan"/>
        <s v="Md. Emon Hossain"/>
        <s v="Nadiya Akter Setu"/>
        <s v="Mst. Ayesha Begum"/>
        <s v="Md. Saiful Islam"/>
        <s v="Shahin Alam"/>
        <s v="Asif Hasan Jisan"/>
        <s v="Md. Jahidul Islam"/>
        <s v="Mst. Sammi Akter"/>
        <s v="Banna Akter"/>
        <s v="Afrin Akter Akhi"/>
        <s v="Liza Akter Laboni"/>
        <s v="Md. Nadim Hossain Choyon"/>
        <s v="Khadeja Akter Anika"/>
        <s v="Jerin"/>
        <s v="Mukta Moni"/>
        <s v="Azizul Hakim"/>
        <s v="Khairul Islam Sagor"/>
        <s v="Md. Masud Rana"/>
        <s v="Rima Akter"/>
        <s v="Hridoy Hossain Khan"/>
        <s v="Saboj Mia"/>
        <s v="Fatama Iti"/>
        <s v="Rimu Akter"/>
        <s v="Dolon Akter Prova"/>
        <s v="Sabiha Sultana Masuma"/>
        <s v="Md. Azizul Islam"/>
        <s v="Ebrahim Miah"/>
        <s v="Md. Mirajul Islam"/>
        <s v="Rabaya Sultana"/>
        <s v="Sagar Modak"/>
        <s v="Sudip Modak"/>
        <s v="Neloy Kumar"/>
        <s v="Md. Omar Faruk"/>
        <s v="Md. Tarmin Hosen Rana"/>
        <s v="Md. Sobuz Ahmed Shuvo"/>
        <s v="Suvha Chandra Sarker"/>
        <s v="Sima Roy"/>
        <s v="Rabeya Akter Tanjila"/>
        <s v="Md. Shanto Mia"/>
        <s v="Rakib Kazi"/>
        <s v="Aminul Islam Pappu"/>
        <s v="Nazmul Akondo"/>
        <s v="Md. Ripon Sheikh"/>
        <s v="Hamim Zubaed Shuvo"/>
        <s v="Easrat Jahan"/>
        <s v="Sadia Akter Nitu"/>
        <s v="Isahik Kazi"/>
        <s v="Md. Asharat Hossain"/>
        <s v="Mst. Asma Begum"/>
        <s v="Miss. Rima Khatun"/>
        <s v="Md. Ariful Islam"/>
        <s v="Md. Nazmul Hassan"/>
        <s v="Reshma Rahman"/>
        <s v="Tamanna Sultana Mim"/>
        <s v="Kulsum Akter Mala"/>
        <s v="Saruf Ahmed Antar"/>
        <s v="Md. Saikhul Islam Siam"/>
        <s v="Bishwajit Mandal"/>
        <s v="Riaj Uddin"/>
        <s v="Akia Akter"/>
        <s v="Md. Sojib Mia"/>
        <s v="Akash Ahmed"/>
        <s v="Sahriar Hossain Fahim"/>
        <s v="Sumaiya Akter Mim"/>
        <s v="Md. Azizul Hakim Akash"/>
        <s v="Md. Mehedi Hasan"/>
        <s v="Md. Safayet Hossain Rifat"/>
        <s v="Dipta Halder"/>
        <s v="Md. Tarikul Islam Nahid"/>
        <s v="Jonaky"/>
        <s v="Nahid Khan"/>
        <s v="Abu Hanif "/>
        <s v="Md. Jubail Islam"/>
        <s v="Adithy Roy"/>
        <s v="Md. Nayon Mia"/>
        <s v="Nur Rahman"/>
        <s v="Md. Jobber Hossain"/>
        <s v="Mst. Rokeya Roni"/>
        <s v="Mahadul Islam"/>
        <s v="Lamya Islam Tanjila"/>
        <s v="Afsana Akter"/>
        <s v="Md. Mosarof Hosen"/>
        <s v="Rofikul"/>
        <s v="Md. Rayhan Sarker"/>
        <s v="Suma Akter"/>
        <s v="Mst. Somaiya Khanom Sumi"/>
        <s v="Tamim Banu"/>
        <s v="Eshita Akter"/>
        <s v="Mst. Labony Akter"/>
        <s v="Fareya Sultana"/>
        <s v="Md. Shahajalal"/>
        <s v="Md. Alamin Hossain"/>
        <s v="Abdullah Al Mamun"/>
        <s v="Md. Abdullah"/>
        <s v="Md. Robin"/>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xecutive"/>
        <s v="Assistant Manager"/>
        <s v="Assistant Leader"/>
        <s v="Line Leader"/>
        <s v="Cleaner"/>
        <s v="Support Staff"/>
      </sharedItems>
    </cacheField>
    <cacheField name="Employee Category" numFmtId="0">
      <sharedItems/>
    </cacheField>
    <cacheField name="Employee Type" numFmtId="0">
      <sharedItems count="2">
        <s v="Permanent"/>
        <s v="Probation"/>
      </sharedItems>
    </cacheField>
    <cacheField name="Date of confirmation" numFmtId="14">
      <sharedItems containsSemiMixedTypes="0" containsNonDate="0" containsDate="1" containsString="0" minDate="2023-09-02T00:00:00" maxDate="2024-10-30T00:00:00"/>
    </cacheField>
    <cacheField name="Date of Join" numFmtId="1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7"/>
    </cacheField>
    <cacheField name="Gender" numFmtId="0">
      <sharedItems count="2">
        <s v="Male"/>
        <s v="Female"/>
      </sharedItems>
    </cacheField>
    <cacheField name="Marital Status" numFmtId="0">
      <sharedItems count="2">
        <s v="Single"/>
        <s v="Married"/>
      </sharedItems>
    </cacheField>
    <cacheField name="Blood Group" numFmtId="0">
      <sharedItems/>
    </cacheField>
    <cacheField name="Present Address" numFmtId="0">
      <sharedItems/>
    </cacheField>
    <cacheField name="Distance" numFmtId="0">
      <sharedItems/>
    </cacheField>
    <cacheField name="Working status" numFmtId="0">
      <sharedItems count="3">
        <s v="Active"/>
        <s v="Resigned"/>
        <s v="Fire"/>
      </sharedItems>
    </cacheField>
    <cacheField name="Salary" numFmtId="164">
      <sharedItems containsSemiMixedTypes="0" containsString="0" containsNumber="1" containsInteger="1" minValue="16" maxValue="2163263" count="49">
        <n v="10000"/>
        <n v="2500"/>
        <n v="500"/>
        <n v="523"/>
        <n v="216363"/>
        <n v="525"/>
        <n v="15265"/>
        <n v="56"/>
        <n v="1662"/>
        <n v="6232"/>
        <n v="21633"/>
        <n v="5000"/>
        <n v="6211"/>
        <n v="36352"/>
        <n v="2581"/>
        <n v="2365"/>
        <n v="16554"/>
        <n v="165146"/>
        <n v="215"/>
        <n v="16365"/>
        <n v="1636"/>
        <n v="2163263"/>
        <n v="2362"/>
        <n v="132"/>
        <n v="232"/>
        <n v="20000"/>
        <n v="155"/>
        <n v="26526"/>
        <n v="262"/>
        <n v="1626"/>
        <n v="266"/>
        <n v="16"/>
        <n v="1000"/>
        <n v="616"/>
        <n v="16326"/>
        <n v="26265"/>
        <n v="2162"/>
        <n v="16521"/>
        <n v="21625"/>
        <n v="6526"/>
        <n v="655"/>
        <n v="62146"/>
        <n v="2656"/>
        <n v="216"/>
        <n v="65143"/>
        <n v="52542"/>
        <n v="27000"/>
        <n v="30000"/>
        <n v="6000"/>
      </sharedItems>
    </cacheField>
    <cacheField name="Months (Date of Join)" numFmtId="0" databaseField="0">
      <fieldGroup base="7">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7">
        <rangePr groupBy="quarters" startDate="2023-03-06T00:00:00" endDate="2024-05-03T00:00:00"/>
        <groupItems count="6">
          <s v="&lt;3/6/2023"/>
          <s v="Qtr1"/>
          <s v="Qtr2"/>
          <s v="Qtr3"/>
          <s v="Qtr4"/>
          <s v="&gt;5/3/2024"/>
        </groupItems>
      </fieldGroup>
    </cacheField>
    <cacheField name="Years (Date of Join)"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361789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s v="ACX1"/>
    <x v="0"/>
    <x v="0"/>
    <x v="0"/>
    <s v="Management"/>
    <x v="0"/>
    <d v="2023-09-02T00:00:00"/>
    <x v="0"/>
    <x v="0"/>
    <x v="0"/>
    <s v="B+"/>
    <s v="Gazipura 27"/>
    <s v="1km -3km"/>
    <x v="0"/>
    <x v="0"/>
  </r>
  <r>
    <s v="ACX2"/>
    <x v="1"/>
    <x v="1"/>
    <x v="0"/>
    <s v="Indirect"/>
    <x v="1"/>
    <d v="2023-11-02T00:00:00"/>
    <x v="1"/>
    <x v="0"/>
    <x v="0"/>
    <s v="A+"/>
    <s v="Gazipura 27"/>
    <s v="1km -3km"/>
    <x v="1"/>
    <x v="1"/>
  </r>
  <r>
    <s v="ACX3"/>
    <x v="2"/>
    <x v="2"/>
    <x v="0"/>
    <s v="Management"/>
    <x v="0"/>
    <d v="2023-11-16T00:00:00"/>
    <x v="2"/>
    <x v="0"/>
    <x v="1"/>
    <s v="O+"/>
    <s v="Uttara"/>
    <s v="5km-10km"/>
    <x v="2"/>
    <x v="2"/>
  </r>
  <r>
    <s v="ACX4"/>
    <x v="3"/>
    <x v="3"/>
    <x v="1"/>
    <s v="Indirect"/>
    <x v="0"/>
    <d v="2023-11-28T00:00:00"/>
    <x v="3"/>
    <x v="0"/>
    <x v="1"/>
    <s v="A+"/>
    <s v="Bonmala Road"/>
    <s v="3km-5km"/>
    <x v="0"/>
    <x v="0"/>
  </r>
  <r>
    <s v="ACX5"/>
    <x v="4"/>
    <x v="2"/>
    <x v="0"/>
    <s v="Indirect"/>
    <x v="1"/>
    <d v="2023-12-09T00:00:00"/>
    <x v="4"/>
    <x v="0"/>
    <x v="0"/>
    <s v="O+"/>
    <s v="Khilkhet"/>
    <s v="10km-15km"/>
    <x v="0"/>
    <x v="0"/>
  </r>
  <r>
    <s v="ACX6"/>
    <x v="5"/>
    <x v="3"/>
    <x v="0"/>
    <s v="Indirect"/>
    <x v="0"/>
    <d v="2023-12-09T00:00:00"/>
    <x v="4"/>
    <x v="0"/>
    <x v="0"/>
    <s v="B+"/>
    <s v="Gazipura 27"/>
    <s v="1km -3km"/>
    <x v="0"/>
    <x v="0"/>
  </r>
  <r>
    <s v="ACX7"/>
    <x v="6"/>
    <x v="2"/>
    <x v="0"/>
    <s v="Indirect"/>
    <x v="0"/>
    <d v="2023-12-12T00:00:00"/>
    <x v="5"/>
    <x v="0"/>
    <x v="1"/>
    <s v="O+"/>
    <s v="Gazipura 27"/>
    <s v="1km -3km"/>
    <x v="0"/>
    <x v="0"/>
  </r>
  <r>
    <s v="ACX8"/>
    <x v="7"/>
    <x v="3"/>
    <x v="0"/>
    <s v="Management"/>
    <x v="0"/>
    <d v="2023-12-17T00:00:00"/>
    <x v="6"/>
    <x v="0"/>
    <x v="0"/>
    <s v="AB+"/>
    <s v="Gazipura 27"/>
    <s v="1km -3km"/>
    <x v="0"/>
    <x v="3"/>
  </r>
  <r>
    <s v="ACX9"/>
    <x v="8"/>
    <x v="3"/>
    <x v="0"/>
    <s v="Indirect"/>
    <x v="0"/>
    <d v="2023-12-17T00:00:00"/>
    <x v="6"/>
    <x v="0"/>
    <x v="0"/>
    <s v="A+"/>
    <s v="Gazipura 27"/>
    <s v="1km -3km"/>
    <x v="0"/>
    <x v="0"/>
  </r>
  <r>
    <s v="ACX10"/>
    <x v="9"/>
    <x v="2"/>
    <x v="0"/>
    <s v="Indirect"/>
    <x v="0"/>
    <d v="2023-12-18T00:00:00"/>
    <x v="7"/>
    <x v="0"/>
    <x v="1"/>
    <s v="O+"/>
    <s v="Gazipura 27"/>
    <s v="1km -3km"/>
    <x v="0"/>
    <x v="4"/>
  </r>
  <r>
    <s v="ACX11"/>
    <x v="10"/>
    <x v="2"/>
    <x v="0"/>
    <s v="Management"/>
    <x v="0"/>
    <d v="2023-12-28T00:00:00"/>
    <x v="8"/>
    <x v="0"/>
    <x v="1"/>
    <s v="O+"/>
    <s v="Bonmala Road"/>
    <s v="3km-5km"/>
    <x v="0"/>
    <x v="0"/>
  </r>
  <r>
    <s v="ACX12"/>
    <x v="11"/>
    <x v="2"/>
    <x v="0"/>
    <s v="Indirect"/>
    <x v="0"/>
    <d v="2024-01-06T00:00:00"/>
    <x v="9"/>
    <x v="0"/>
    <x v="1"/>
    <s v="AB+"/>
    <s v="Gazipura 27"/>
    <s v="1km -3km"/>
    <x v="0"/>
    <x v="0"/>
  </r>
  <r>
    <s v="ACX13"/>
    <x v="12"/>
    <x v="3"/>
    <x v="0"/>
    <s v="Indirect"/>
    <x v="0"/>
    <d v="2024-01-06T00:00:00"/>
    <x v="9"/>
    <x v="0"/>
    <x v="1"/>
    <s v="B+"/>
    <s v="Gazipur Chowrasta"/>
    <s v="5km-10km"/>
    <x v="0"/>
    <x v="5"/>
  </r>
  <r>
    <s v="ACX14"/>
    <x v="13"/>
    <x v="3"/>
    <x v="0"/>
    <s v="Indirect"/>
    <x v="1"/>
    <d v="2024-01-06T00:00:00"/>
    <x v="9"/>
    <x v="0"/>
    <x v="1"/>
    <s v="O-"/>
    <s v="Gazipura 27"/>
    <s v="1km -3km"/>
    <x v="0"/>
    <x v="0"/>
  </r>
  <r>
    <s v="ACX15"/>
    <x v="14"/>
    <x v="2"/>
    <x v="0"/>
    <s v="Direct"/>
    <x v="0"/>
    <d v="2024-01-06T00:00:00"/>
    <x v="9"/>
    <x v="0"/>
    <x v="0"/>
    <s v="B+"/>
    <s v="Gazipura 27"/>
    <s v="1km -3km"/>
    <x v="0"/>
    <x v="6"/>
  </r>
  <r>
    <s v="ACX16"/>
    <x v="15"/>
    <x v="0"/>
    <x v="0"/>
    <s v="Indirect"/>
    <x v="0"/>
    <d v="2024-01-06T00:00:00"/>
    <x v="9"/>
    <x v="0"/>
    <x v="1"/>
    <s v="O+"/>
    <s v="Gazipura 27"/>
    <s v="1km -3km"/>
    <x v="0"/>
    <x v="0"/>
  </r>
  <r>
    <s v="ACX17"/>
    <x v="16"/>
    <x v="4"/>
    <x v="0"/>
    <s v="Direct"/>
    <x v="0"/>
    <d v="2024-01-06T00:00:00"/>
    <x v="9"/>
    <x v="1"/>
    <x v="1"/>
    <s v="O+"/>
    <s v="Gazipura 27"/>
    <s v="1km -3km"/>
    <x v="0"/>
    <x v="7"/>
  </r>
  <r>
    <s v="ACX18"/>
    <x v="17"/>
    <x v="0"/>
    <x v="0"/>
    <s v="Indirect"/>
    <x v="0"/>
    <d v="2024-01-06T00:00:00"/>
    <x v="9"/>
    <x v="0"/>
    <x v="1"/>
    <s v="B+"/>
    <s v="Gazipura 27"/>
    <s v="1km -3km"/>
    <x v="0"/>
    <x v="0"/>
  </r>
  <r>
    <s v="ACX19"/>
    <x v="18"/>
    <x v="1"/>
    <x v="0"/>
    <s v="Indirect"/>
    <x v="0"/>
    <d v="2024-01-06T00:00:00"/>
    <x v="9"/>
    <x v="0"/>
    <x v="0"/>
    <s v="AB+"/>
    <s v="Gazipura 27"/>
    <s v="1km -3km"/>
    <x v="0"/>
    <x v="0"/>
  </r>
  <r>
    <s v="ACX20"/>
    <x v="19"/>
    <x v="2"/>
    <x v="0"/>
    <s v="Direct"/>
    <x v="0"/>
    <d v="2024-01-06T00:00:00"/>
    <x v="9"/>
    <x v="0"/>
    <x v="0"/>
    <s v="O+"/>
    <s v="Gazipura 27"/>
    <s v="1km -3km"/>
    <x v="0"/>
    <x v="8"/>
  </r>
  <r>
    <s v="ACX21"/>
    <x v="20"/>
    <x v="3"/>
    <x v="0"/>
    <s v="Direct"/>
    <x v="0"/>
    <d v="2024-01-06T00:00:00"/>
    <x v="9"/>
    <x v="0"/>
    <x v="0"/>
    <s v="O+"/>
    <s v="Gazipura 27"/>
    <s v="1km -3km"/>
    <x v="0"/>
    <x v="0"/>
  </r>
  <r>
    <s v="ACX22"/>
    <x v="21"/>
    <x v="2"/>
    <x v="0"/>
    <s v="Direct"/>
    <x v="0"/>
    <d v="2024-01-07T00:00:00"/>
    <x v="10"/>
    <x v="0"/>
    <x v="0"/>
    <s v="O+"/>
    <s v="Gazipura 27"/>
    <s v="1km -3km"/>
    <x v="0"/>
    <x v="0"/>
  </r>
  <r>
    <s v="ACX23"/>
    <x v="22"/>
    <x v="3"/>
    <x v="0"/>
    <s v="Indirect"/>
    <x v="0"/>
    <d v="2024-02-01T00:00:00"/>
    <x v="11"/>
    <x v="0"/>
    <x v="1"/>
    <s v="O+"/>
    <s v="Gazipura 27"/>
    <s v="1km -3km"/>
    <x v="0"/>
    <x v="9"/>
  </r>
  <r>
    <s v="ACX24"/>
    <x v="23"/>
    <x v="3"/>
    <x v="0"/>
    <s v="Indirect"/>
    <x v="0"/>
    <d v="2024-02-01T00:00:00"/>
    <x v="11"/>
    <x v="0"/>
    <x v="1"/>
    <s v="A+"/>
    <s v="Board Bazar"/>
    <s v="3km-5km"/>
    <x v="0"/>
    <x v="0"/>
  </r>
  <r>
    <s v="ACX25"/>
    <x v="24"/>
    <x v="3"/>
    <x v="0"/>
    <s v="Indirect"/>
    <x v="0"/>
    <d v="2024-03-05T00:00:00"/>
    <x v="12"/>
    <x v="0"/>
    <x v="1"/>
    <s v="B+"/>
    <s v="Gazipura 27"/>
    <s v="1km -3km"/>
    <x v="0"/>
    <x v="0"/>
  </r>
  <r>
    <s v="ACX26"/>
    <x v="25"/>
    <x v="0"/>
    <x v="0"/>
    <s v="Indirect"/>
    <x v="1"/>
    <d v="2024-05-18T00:00:00"/>
    <x v="13"/>
    <x v="0"/>
    <x v="1"/>
    <s v="O+"/>
    <s v="Mohammadpur"/>
    <s v="20km-30km"/>
    <x v="0"/>
    <x v="10"/>
  </r>
  <r>
    <s v="ACX27"/>
    <x v="26"/>
    <x v="2"/>
    <x v="0"/>
    <s v="Indirect"/>
    <x v="1"/>
    <d v="2024-05-18T00:00:00"/>
    <x v="13"/>
    <x v="0"/>
    <x v="1"/>
    <s v="O+"/>
    <s v="Gazipur Chowrasta"/>
    <s v="5km-10km"/>
    <x v="0"/>
    <x v="0"/>
  </r>
  <r>
    <s v="ACX28"/>
    <x v="27"/>
    <x v="3"/>
    <x v="0"/>
    <s v="Management"/>
    <x v="1"/>
    <d v="2024-05-30T00:00:00"/>
    <x v="14"/>
    <x v="0"/>
    <x v="1"/>
    <s v="AB+"/>
    <s v="Bonmala Road"/>
    <s v="3km-5km"/>
    <x v="0"/>
    <x v="0"/>
  </r>
  <r>
    <s v="ACX29"/>
    <x v="28"/>
    <x v="3"/>
    <x v="0"/>
    <s v="Indirect"/>
    <x v="1"/>
    <d v="2024-06-06T00:00:00"/>
    <x v="15"/>
    <x v="0"/>
    <x v="0"/>
    <s v="A+"/>
    <s v="Gazipura 27"/>
    <s v="1km -3km"/>
    <x v="0"/>
    <x v="11"/>
  </r>
  <r>
    <s v="ACX30"/>
    <x v="29"/>
    <x v="2"/>
    <x v="0"/>
    <s v="Management"/>
    <x v="1"/>
    <d v="2024-06-07T00:00:00"/>
    <x v="16"/>
    <x v="0"/>
    <x v="0"/>
    <s v="B+"/>
    <s v="Gazipura 27"/>
    <s v="1km -3km"/>
    <x v="0"/>
    <x v="0"/>
  </r>
  <r>
    <s v="ACX31"/>
    <x v="30"/>
    <x v="2"/>
    <x v="0"/>
    <s v="Direct"/>
    <x v="1"/>
    <d v="2024-06-07T00:00:00"/>
    <x v="16"/>
    <x v="0"/>
    <x v="0"/>
    <s v="AB+"/>
    <s v="Board Bazar"/>
    <s v="3km-5km"/>
    <x v="0"/>
    <x v="12"/>
  </r>
  <r>
    <s v="ACX32"/>
    <x v="31"/>
    <x v="2"/>
    <x v="0"/>
    <s v="Direct"/>
    <x v="1"/>
    <d v="2024-06-07T00:00:00"/>
    <x v="16"/>
    <x v="0"/>
    <x v="0"/>
    <s v="N/A"/>
    <s v="Boro Bari"/>
    <s v="3km-5km"/>
    <x v="0"/>
    <x v="13"/>
  </r>
  <r>
    <s v="ACX33"/>
    <x v="32"/>
    <x v="2"/>
    <x v="0"/>
    <s v="Direct"/>
    <x v="1"/>
    <d v="2024-06-07T00:00:00"/>
    <x v="16"/>
    <x v="0"/>
    <x v="0"/>
    <s v="N/A"/>
    <s v="Hossen Market"/>
    <s v="1km -3km"/>
    <x v="0"/>
    <x v="14"/>
  </r>
  <r>
    <s v="ACX34"/>
    <x v="33"/>
    <x v="2"/>
    <x v="0"/>
    <s v="Direct"/>
    <x v="1"/>
    <d v="2024-06-07T00:00:00"/>
    <x v="16"/>
    <x v="0"/>
    <x v="0"/>
    <s v="B+"/>
    <s v="Board Bazar"/>
    <s v="3km-5km"/>
    <x v="0"/>
    <x v="15"/>
  </r>
  <r>
    <s v="ACX35"/>
    <x v="34"/>
    <x v="2"/>
    <x v="0"/>
    <s v="Direct"/>
    <x v="1"/>
    <d v="2024-06-07T00:00:00"/>
    <x v="16"/>
    <x v="0"/>
    <x v="1"/>
    <s v="B+"/>
    <s v="Sign board"/>
    <s v="3km-5km"/>
    <x v="0"/>
    <x v="0"/>
  </r>
  <r>
    <s v="ACX36"/>
    <x v="35"/>
    <x v="0"/>
    <x v="0"/>
    <s v="Direct"/>
    <x v="1"/>
    <d v="2024-06-07T00:00:00"/>
    <x v="16"/>
    <x v="0"/>
    <x v="0"/>
    <s v="B+"/>
    <s v="Gazipura 27"/>
    <s v="1km -3km"/>
    <x v="0"/>
    <x v="0"/>
  </r>
  <r>
    <s v="ACX37"/>
    <x v="36"/>
    <x v="2"/>
    <x v="0"/>
    <s v="Direct"/>
    <x v="1"/>
    <d v="2024-06-07T00:00:00"/>
    <x v="16"/>
    <x v="0"/>
    <x v="0"/>
    <s v="N/A"/>
    <s v="Gazipura 27"/>
    <s v="1km -3km"/>
    <x v="0"/>
    <x v="16"/>
  </r>
  <r>
    <s v="ACX38"/>
    <x v="37"/>
    <x v="2"/>
    <x v="0"/>
    <s v="Direct"/>
    <x v="1"/>
    <d v="2024-06-07T00:00:00"/>
    <x v="16"/>
    <x v="0"/>
    <x v="0"/>
    <s v="AB+"/>
    <s v="Gazipura 27"/>
    <s v="1km -3km"/>
    <x v="0"/>
    <x v="0"/>
  </r>
  <r>
    <s v="ACX39"/>
    <x v="38"/>
    <x v="2"/>
    <x v="0"/>
    <s v="Direct"/>
    <x v="1"/>
    <d v="2024-06-07T00:00:00"/>
    <x v="16"/>
    <x v="0"/>
    <x v="1"/>
    <s v="A+"/>
    <s v="Gazipura 27"/>
    <s v="1km -3km"/>
    <x v="0"/>
    <x v="0"/>
  </r>
  <r>
    <s v="ACX40"/>
    <x v="39"/>
    <x v="2"/>
    <x v="0"/>
    <s v="Direct"/>
    <x v="1"/>
    <d v="2024-06-07T00:00:00"/>
    <x v="16"/>
    <x v="0"/>
    <x v="1"/>
    <s v="B+"/>
    <s v="Gazipura 27"/>
    <s v="1km -3km"/>
    <x v="0"/>
    <x v="0"/>
  </r>
  <r>
    <s v="ACX41"/>
    <x v="40"/>
    <x v="3"/>
    <x v="0"/>
    <s v="Direct"/>
    <x v="1"/>
    <d v="2024-06-07T00:00:00"/>
    <x v="16"/>
    <x v="1"/>
    <x v="1"/>
    <s v="A+"/>
    <s v="Gazipura 27"/>
    <s v="1km -3km"/>
    <x v="0"/>
    <x v="17"/>
  </r>
  <r>
    <s v="ACX42"/>
    <x v="41"/>
    <x v="0"/>
    <x v="0"/>
    <s v="Direct"/>
    <x v="1"/>
    <d v="2024-06-07T00:00:00"/>
    <x v="16"/>
    <x v="0"/>
    <x v="0"/>
    <s v="O+"/>
    <s v="Board Bazar"/>
    <s v="3km-5km"/>
    <x v="0"/>
    <x v="0"/>
  </r>
  <r>
    <s v="ACX43"/>
    <x v="42"/>
    <x v="0"/>
    <x v="0"/>
    <s v="Direct"/>
    <x v="1"/>
    <d v="2024-06-07T00:00:00"/>
    <x v="16"/>
    <x v="0"/>
    <x v="0"/>
    <s v="A-"/>
    <s v="Gazipura 27"/>
    <s v="1km -3km"/>
    <x v="0"/>
    <x v="0"/>
  </r>
  <r>
    <s v="ACX44"/>
    <x v="43"/>
    <x v="0"/>
    <x v="0"/>
    <s v="Direct"/>
    <x v="1"/>
    <d v="2024-06-07T00:00:00"/>
    <x v="16"/>
    <x v="0"/>
    <x v="0"/>
    <s v="B+"/>
    <s v="Gazipura 27"/>
    <s v="1km -3km"/>
    <x v="0"/>
    <x v="18"/>
  </r>
  <r>
    <s v="ACX45"/>
    <x v="44"/>
    <x v="2"/>
    <x v="0"/>
    <s v="Direct"/>
    <x v="1"/>
    <d v="2024-06-07T00:00:00"/>
    <x v="16"/>
    <x v="0"/>
    <x v="0"/>
    <s v="O+"/>
    <s v="Gazipura 27"/>
    <s v="1km -3km"/>
    <x v="0"/>
    <x v="0"/>
  </r>
  <r>
    <s v="ACX46"/>
    <x v="45"/>
    <x v="2"/>
    <x v="0"/>
    <s v="Direct"/>
    <x v="1"/>
    <d v="2024-06-07T00:00:00"/>
    <x v="16"/>
    <x v="1"/>
    <x v="0"/>
    <s v="B-"/>
    <s v="Board Bazar"/>
    <s v="3km-5km"/>
    <x v="0"/>
    <x v="0"/>
  </r>
  <r>
    <s v="ACX47"/>
    <x v="46"/>
    <x v="2"/>
    <x v="0"/>
    <s v="Direct"/>
    <x v="1"/>
    <d v="2024-06-07T00:00:00"/>
    <x v="16"/>
    <x v="0"/>
    <x v="0"/>
    <s v="B+"/>
    <s v="Gazipur Chowrasta"/>
    <s v="5km-10km"/>
    <x v="0"/>
    <x v="19"/>
  </r>
  <r>
    <s v="ACX48"/>
    <x v="47"/>
    <x v="2"/>
    <x v="0"/>
    <s v="Direct"/>
    <x v="1"/>
    <d v="2024-06-07T00:00:00"/>
    <x v="16"/>
    <x v="1"/>
    <x v="0"/>
    <s v="B+"/>
    <s v="Sign board"/>
    <s v="3km-5km"/>
    <x v="0"/>
    <x v="0"/>
  </r>
  <r>
    <s v="ACX49"/>
    <x v="48"/>
    <x v="2"/>
    <x v="0"/>
    <s v="Direct"/>
    <x v="1"/>
    <d v="2024-06-07T00:00:00"/>
    <x v="16"/>
    <x v="0"/>
    <x v="0"/>
    <s v="N/A"/>
    <s v="Gazipura 27"/>
    <s v="1km -3km"/>
    <x v="0"/>
    <x v="0"/>
  </r>
  <r>
    <s v="ACX50"/>
    <x v="49"/>
    <x v="2"/>
    <x v="0"/>
    <s v="Direct"/>
    <x v="1"/>
    <d v="2024-06-07T00:00:00"/>
    <x v="16"/>
    <x v="1"/>
    <x v="0"/>
    <s v="O+"/>
    <s v="Board Bazar"/>
    <s v="3km-5km"/>
    <x v="0"/>
    <x v="20"/>
  </r>
  <r>
    <s v="ACX51"/>
    <x v="50"/>
    <x v="2"/>
    <x v="0"/>
    <s v="Direct"/>
    <x v="1"/>
    <d v="2024-06-07T00:00:00"/>
    <x v="16"/>
    <x v="1"/>
    <x v="0"/>
    <s v="O+"/>
    <s v="Gazipura 27"/>
    <s v="1km -3km"/>
    <x v="0"/>
    <x v="0"/>
  </r>
  <r>
    <s v="ACX52"/>
    <x v="51"/>
    <x v="0"/>
    <x v="0"/>
    <s v="Direct"/>
    <x v="1"/>
    <d v="2024-06-07T00:00:00"/>
    <x v="16"/>
    <x v="1"/>
    <x v="0"/>
    <s v="O+"/>
    <s v="Gazipura 27"/>
    <s v="1km -3km"/>
    <x v="0"/>
    <x v="0"/>
  </r>
  <r>
    <s v="ACX53"/>
    <x v="52"/>
    <x v="2"/>
    <x v="0"/>
    <s v="Direct"/>
    <x v="1"/>
    <d v="2024-06-07T00:00:00"/>
    <x v="16"/>
    <x v="1"/>
    <x v="0"/>
    <s v="O+"/>
    <s v="Board Bazar"/>
    <s v="3km-5km"/>
    <x v="0"/>
    <x v="21"/>
  </r>
  <r>
    <s v="ACX54"/>
    <x v="53"/>
    <x v="2"/>
    <x v="0"/>
    <s v="Direct"/>
    <x v="1"/>
    <d v="2024-06-07T00:00:00"/>
    <x v="16"/>
    <x v="1"/>
    <x v="1"/>
    <s v="B+"/>
    <s v="Gazipura 27"/>
    <s v="1km -3km"/>
    <x v="0"/>
    <x v="0"/>
  </r>
  <r>
    <s v="ACX55"/>
    <x v="54"/>
    <x v="2"/>
    <x v="0"/>
    <s v="Direct"/>
    <x v="1"/>
    <d v="2024-06-07T00:00:00"/>
    <x v="16"/>
    <x v="1"/>
    <x v="0"/>
    <s v="A+"/>
    <s v="Gazipura 27"/>
    <s v="1km -3km"/>
    <x v="0"/>
    <x v="0"/>
  </r>
  <r>
    <s v="ACX56"/>
    <x v="55"/>
    <x v="2"/>
    <x v="2"/>
    <s v="Direct"/>
    <x v="1"/>
    <d v="2024-06-07T00:00:00"/>
    <x v="16"/>
    <x v="1"/>
    <x v="0"/>
    <s v="B+"/>
    <s v="Gazipura 27"/>
    <s v="1km -3km"/>
    <x v="0"/>
    <x v="22"/>
  </r>
  <r>
    <s v="ACX57"/>
    <x v="56"/>
    <x v="3"/>
    <x v="2"/>
    <s v="Direct"/>
    <x v="1"/>
    <d v="2024-06-07T00:00:00"/>
    <x v="16"/>
    <x v="1"/>
    <x v="0"/>
    <s v="B+"/>
    <s v="Gazipur Sadar"/>
    <s v="10km-15km"/>
    <x v="0"/>
    <x v="0"/>
  </r>
  <r>
    <s v="ACX58"/>
    <x v="57"/>
    <x v="2"/>
    <x v="3"/>
    <s v="Direct"/>
    <x v="1"/>
    <d v="2024-06-07T00:00:00"/>
    <x v="16"/>
    <x v="1"/>
    <x v="1"/>
    <s v="A+"/>
    <s v="Gazipura 27"/>
    <s v="1km -3km"/>
    <x v="0"/>
    <x v="0"/>
  </r>
  <r>
    <s v="ACX59"/>
    <x v="58"/>
    <x v="0"/>
    <x v="3"/>
    <s v="Direct"/>
    <x v="1"/>
    <d v="2024-06-07T00:00:00"/>
    <x v="16"/>
    <x v="1"/>
    <x v="1"/>
    <s v="A+"/>
    <s v="Gazipura 27"/>
    <s v="1km -3km"/>
    <x v="0"/>
    <x v="23"/>
  </r>
  <r>
    <s v="ACX60"/>
    <x v="59"/>
    <x v="0"/>
    <x v="4"/>
    <s v="Direct"/>
    <x v="1"/>
    <d v="2024-06-07T00:00:00"/>
    <x v="16"/>
    <x v="0"/>
    <x v="0"/>
    <s v="A+"/>
    <s v="Gazipura 27"/>
    <s v="1km -3km"/>
    <x v="0"/>
    <x v="0"/>
  </r>
  <r>
    <s v="ACX61"/>
    <x v="60"/>
    <x v="2"/>
    <x v="2"/>
    <s v="Direct"/>
    <x v="1"/>
    <d v="2024-06-07T00:00:00"/>
    <x v="16"/>
    <x v="0"/>
    <x v="1"/>
    <s v="O+"/>
    <s v="Gazipura 27"/>
    <s v="1km -3km"/>
    <x v="0"/>
    <x v="0"/>
  </r>
  <r>
    <s v="ACX62"/>
    <x v="61"/>
    <x v="2"/>
    <x v="2"/>
    <s v="Direct"/>
    <x v="1"/>
    <d v="2024-06-07T00:00:00"/>
    <x v="16"/>
    <x v="1"/>
    <x v="0"/>
    <s v="O+"/>
    <s v="Gazipura 27"/>
    <s v="1km -3km"/>
    <x v="0"/>
    <x v="24"/>
  </r>
  <r>
    <s v="ACX63"/>
    <x v="62"/>
    <x v="2"/>
    <x v="2"/>
    <s v="Direct"/>
    <x v="1"/>
    <d v="2024-06-07T00:00:00"/>
    <x v="16"/>
    <x v="1"/>
    <x v="0"/>
    <s v="O+"/>
    <s v="Board Bazar"/>
    <s v="3km-5km"/>
    <x v="0"/>
    <x v="0"/>
  </r>
  <r>
    <s v="ACX64"/>
    <x v="63"/>
    <x v="3"/>
    <x v="2"/>
    <s v="Direct"/>
    <x v="1"/>
    <d v="2024-06-07T00:00:00"/>
    <x v="16"/>
    <x v="1"/>
    <x v="0"/>
    <s v="N/A"/>
    <s v="Board Bazar"/>
    <s v="3km-5km"/>
    <x v="0"/>
    <x v="0"/>
  </r>
  <r>
    <s v="ACX65"/>
    <x v="64"/>
    <x v="2"/>
    <x v="2"/>
    <s v="Direct"/>
    <x v="1"/>
    <d v="2024-06-07T00:00:00"/>
    <x v="16"/>
    <x v="0"/>
    <x v="0"/>
    <s v="O+"/>
    <s v="Vogra Baypass"/>
    <s v="5km-10km"/>
    <x v="0"/>
    <x v="18"/>
  </r>
  <r>
    <s v="ACX66"/>
    <x v="65"/>
    <x v="0"/>
    <x v="5"/>
    <s v="Direct"/>
    <x v="1"/>
    <d v="2024-06-07T00:00:00"/>
    <x v="16"/>
    <x v="0"/>
    <x v="0"/>
    <s v="B+"/>
    <s v="Gazipura 27"/>
    <s v="1km -3km"/>
    <x v="0"/>
    <x v="25"/>
  </r>
  <r>
    <s v="ACX67"/>
    <x v="66"/>
    <x v="0"/>
    <x v="3"/>
    <s v="Direct"/>
    <x v="1"/>
    <d v="2024-06-07T00:00:00"/>
    <x v="16"/>
    <x v="0"/>
    <x v="0"/>
    <s v="A+"/>
    <s v="Gazipura 27"/>
    <s v="1km -3km"/>
    <x v="0"/>
    <x v="26"/>
  </r>
  <r>
    <s v="ACX68"/>
    <x v="67"/>
    <x v="0"/>
    <x v="6"/>
    <s v="Direct"/>
    <x v="1"/>
    <d v="2024-06-07T00:00:00"/>
    <x v="16"/>
    <x v="0"/>
    <x v="1"/>
    <s v="O+"/>
    <s v="Gazipura 27"/>
    <s v="1km -3km"/>
    <x v="0"/>
    <x v="25"/>
  </r>
  <r>
    <s v="ACX69"/>
    <x v="68"/>
    <x v="0"/>
    <x v="7"/>
    <s v="Direct"/>
    <x v="1"/>
    <d v="2024-06-07T00:00:00"/>
    <x v="16"/>
    <x v="0"/>
    <x v="0"/>
    <s v="O+"/>
    <s v="Gazipura 27"/>
    <s v="1km -3km"/>
    <x v="0"/>
    <x v="25"/>
  </r>
  <r>
    <s v="ACX70"/>
    <x v="69"/>
    <x v="5"/>
    <x v="0"/>
    <s v="Direct"/>
    <x v="1"/>
    <d v="2024-06-07T00:00:00"/>
    <x v="16"/>
    <x v="0"/>
    <x v="0"/>
    <s v="O+"/>
    <s v="Gazipura 27"/>
    <s v="1km -3km"/>
    <x v="0"/>
    <x v="27"/>
  </r>
  <r>
    <s v="ACX71"/>
    <x v="70"/>
    <x v="0"/>
    <x v="0"/>
    <s v="Direct"/>
    <x v="1"/>
    <d v="2024-06-07T00:00:00"/>
    <x v="16"/>
    <x v="0"/>
    <x v="1"/>
    <s v="AB+"/>
    <s v="Board Bazar"/>
    <s v="3km-5km"/>
    <x v="0"/>
    <x v="0"/>
  </r>
  <r>
    <s v="ACX72"/>
    <x v="71"/>
    <x v="5"/>
    <x v="0"/>
    <s v="Direct"/>
    <x v="1"/>
    <d v="2024-06-07T00:00:00"/>
    <x v="16"/>
    <x v="0"/>
    <x v="0"/>
    <s v="A+"/>
    <s v="Gazipura 27"/>
    <s v="1km -3km"/>
    <x v="0"/>
    <x v="0"/>
  </r>
  <r>
    <s v="ACX73"/>
    <x v="72"/>
    <x v="0"/>
    <x v="0"/>
    <s v="Direct"/>
    <x v="1"/>
    <d v="2024-06-07T00:00:00"/>
    <x v="16"/>
    <x v="0"/>
    <x v="0"/>
    <s v="B+"/>
    <s v="Board Bazar"/>
    <s v="3km-5km"/>
    <x v="0"/>
    <x v="28"/>
  </r>
  <r>
    <s v="ACX74"/>
    <x v="73"/>
    <x v="2"/>
    <x v="0"/>
    <s v="Direct"/>
    <x v="1"/>
    <d v="2024-06-08T00:00:00"/>
    <x v="17"/>
    <x v="1"/>
    <x v="0"/>
    <s v="O+"/>
    <s v="Sign board"/>
    <s v="3km-5km"/>
    <x v="0"/>
    <x v="0"/>
  </r>
  <r>
    <s v="ACX75"/>
    <x v="74"/>
    <x v="3"/>
    <x v="0"/>
    <s v="Direct"/>
    <x v="1"/>
    <d v="2024-06-08T00:00:00"/>
    <x v="17"/>
    <x v="0"/>
    <x v="0"/>
    <s v="O+"/>
    <s v="Board Bazar"/>
    <s v="3km-5km"/>
    <x v="0"/>
    <x v="0"/>
  </r>
  <r>
    <s v="ACX76"/>
    <x v="75"/>
    <x v="3"/>
    <x v="0"/>
    <s v="Direct"/>
    <x v="1"/>
    <d v="2024-06-08T00:00:00"/>
    <x v="17"/>
    <x v="0"/>
    <x v="0"/>
    <s v="AB+"/>
    <s v="Board Bazar"/>
    <s v="3km-5km"/>
    <x v="0"/>
    <x v="29"/>
  </r>
  <r>
    <s v="ACX77"/>
    <x v="76"/>
    <x v="2"/>
    <x v="0"/>
    <s v="Direct"/>
    <x v="1"/>
    <d v="2024-06-08T00:00:00"/>
    <x v="17"/>
    <x v="0"/>
    <x v="0"/>
    <s v="B+"/>
    <s v="Ershad Nagar"/>
    <s v="1km -3km"/>
    <x v="0"/>
    <x v="0"/>
  </r>
  <r>
    <s v="ACX78"/>
    <x v="77"/>
    <x v="2"/>
    <x v="0"/>
    <s v="Direct"/>
    <x v="1"/>
    <d v="2024-06-08T00:00:00"/>
    <x v="17"/>
    <x v="0"/>
    <x v="0"/>
    <s v="O+"/>
    <s v="Ershad Nagar"/>
    <s v="1km -3km"/>
    <x v="0"/>
    <x v="0"/>
  </r>
  <r>
    <s v="ACX79"/>
    <x v="78"/>
    <x v="3"/>
    <x v="0"/>
    <s v="Direct"/>
    <x v="1"/>
    <d v="2024-06-08T00:00:00"/>
    <x v="17"/>
    <x v="0"/>
    <x v="0"/>
    <s v="N/A"/>
    <s v="Gacha"/>
    <s v="3km-5km"/>
    <x v="0"/>
    <x v="30"/>
  </r>
  <r>
    <s v="ACX80"/>
    <x v="79"/>
    <x v="3"/>
    <x v="0"/>
    <s v="Direct"/>
    <x v="1"/>
    <d v="2024-06-08T00:00:00"/>
    <x v="17"/>
    <x v="0"/>
    <x v="0"/>
    <s v="A+"/>
    <s v="Ershad Nagar"/>
    <s v="1km -3km"/>
    <x v="0"/>
    <x v="0"/>
  </r>
  <r>
    <s v="ACX81"/>
    <x v="80"/>
    <x v="3"/>
    <x v="1"/>
    <s v="Direct"/>
    <x v="1"/>
    <d v="2024-06-08T00:00:00"/>
    <x v="17"/>
    <x v="0"/>
    <x v="1"/>
    <s v="N/A"/>
    <s v="Gazipura 27"/>
    <s v="1km -3km"/>
    <x v="0"/>
    <x v="0"/>
  </r>
  <r>
    <s v="ACX82"/>
    <x v="81"/>
    <x v="3"/>
    <x v="0"/>
    <s v="Direct"/>
    <x v="1"/>
    <d v="2024-06-08T00:00:00"/>
    <x v="17"/>
    <x v="0"/>
    <x v="0"/>
    <s v="N/A"/>
    <s v="Gazipura 27"/>
    <s v="1km -3km"/>
    <x v="0"/>
    <x v="31"/>
  </r>
  <r>
    <s v="ACX83"/>
    <x v="82"/>
    <x v="3"/>
    <x v="0"/>
    <s v="Direct"/>
    <x v="1"/>
    <d v="2024-06-08T00:00:00"/>
    <x v="17"/>
    <x v="0"/>
    <x v="0"/>
    <s v="A+"/>
    <s v="Gazipura 27"/>
    <s v="1km -3km"/>
    <x v="0"/>
    <x v="32"/>
  </r>
  <r>
    <s v="ACX84"/>
    <x v="83"/>
    <x v="2"/>
    <x v="0"/>
    <s v="Direct"/>
    <x v="1"/>
    <d v="2024-06-08T00:00:00"/>
    <x v="17"/>
    <x v="0"/>
    <x v="0"/>
    <s v="A+"/>
    <s v="Gazipura 27"/>
    <s v="1km -3km"/>
    <x v="0"/>
    <x v="32"/>
  </r>
  <r>
    <s v="ACX85"/>
    <x v="84"/>
    <x v="3"/>
    <x v="0"/>
    <s v="Direct"/>
    <x v="1"/>
    <d v="2024-06-08T00:00:00"/>
    <x v="17"/>
    <x v="0"/>
    <x v="0"/>
    <s v="B+"/>
    <s v="Gazipura 27"/>
    <s v="1km -3km"/>
    <x v="0"/>
    <x v="33"/>
  </r>
  <r>
    <s v="ACX86"/>
    <x v="85"/>
    <x v="2"/>
    <x v="0"/>
    <s v="Direct"/>
    <x v="1"/>
    <d v="2024-06-08T00:00:00"/>
    <x v="17"/>
    <x v="0"/>
    <x v="0"/>
    <s v="AB+"/>
    <s v="Gazipura 27"/>
    <s v="1km -3km"/>
    <x v="0"/>
    <x v="32"/>
  </r>
  <r>
    <s v="ACX87"/>
    <x v="86"/>
    <x v="2"/>
    <x v="0"/>
    <s v="Direct"/>
    <x v="1"/>
    <d v="2024-06-08T00:00:00"/>
    <x v="17"/>
    <x v="0"/>
    <x v="0"/>
    <s v="AB+"/>
    <s v="Board Bazar"/>
    <s v="3km-5km"/>
    <x v="0"/>
    <x v="32"/>
  </r>
  <r>
    <s v="ACX88"/>
    <x v="87"/>
    <x v="2"/>
    <x v="0"/>
    <s v="Direct"/>
    <x v="1"/>
    <d v="2024-06-08T00:00:00"/>
    <x v="17"/>
    <x v="0"/>
    <x v="0"/>
    <s v="N/A"/>
    <s v="Boro Bari"/>
    <s v="3km-5km"/>
    <x v="0"/>
    <x v="8"/>
  </r>
  <r>
    <s v="ACX89"/>
    <x v="88"/>
    <x v="3"/>
    <x v="0"/>
    <s v="Direct"/>
    <x v="1"/>
    <d v="2024-06-08T00:00:00"/>
    <x v="17"/>
    <x v="0"/>
    <x v="0"/>
    <s v="A+"/>
    <s v="Gazipura 27"/>
    <s v="1km -3km"/>
    <x v="0"/>
    <x v="0"/>
  </r>
  <r>
    <s v="ACX90"/>
    <x v="89"/>
    <x v="2"/>
    <x v="0"/>
    <s v="Direct"/>
    <x v="1"/>
    <d v="2024-06-08T00:00:00"/>
    <x v="17"/>
    <x v="0"/>
    <x v="0"/>
    <s v="O+"/>
    <s v="Gazipura 27"/>
    <s v="1km -3km"/>
    <x v="0"/>
    <x v="34"/>
  </r>
  <r>
    <s v="ACX91"/>
    <x v="48"/>
    <x v="2"/>
    <x v="0"/>
    <s v="Direct"/>
    <x v="1"/>
    <d v="2024-06-08T00:00:00"/>
    <x v="17"/>
    <x v="0"/>
    <x v="1"/>
    <s v="N/A"/>
    <s v="Gazipura 27"/>
    <s v="1km -3km"/>
    <x v="0"/>
    <x v="0"/>
  </r>
  <r>
    <s v="ACX92"/>
    <x v="90"/>
    <x v="3"/>
    <x v="0"/>
    <s v="Direct"/>
    <x v="1"/>
    <d v="2024-06-08T00:00:00"/>
    <x v="17"/>
    <x v="0"/>
    <x v="0"/>
    <s v="O+"/>
    <s v="Gazipura 27"/>
    <s v="1km -3km"/>
    <x v="0"/>
    <x v="35"/>
  </r>
  <r>
    <s v="ACX93"/>
    <x v="91"/>
    <x v="0"/>
    <x v="0"/>
    <s v="Direct"/>
    <x v="1"/>
    <d v="2024-06-08T00:00:00"/>
    <x v="17"/>
    <x v="0"/>
    <x v="0"/>
    <s v="O+"/>
    <s v="Gazipura 27"/>
    <s v="1km -3km"/>
    <x v="0"/>
    <x v="36"/>
  </r>
  <r>
    <s v="ACX94"/>
    <x v="92"/>
    <x v="0"/>
    <x v="0"/>
    <s v="Direct"/>
    <x v="1"/>
    <d v="2024-06-08T00:00:00"/>
    <x v="17"/>
    <x v="1"/>
    <x v="0"/>
    <s v="O+"/>
    <s v="Board Bazar"/>
    <s v="3km-5km"/>
    <x v="0"/>
    <x v="0"/>
  </r>
  <r>
    <s v="ACX95"/>
    <x v="93"/>
    <x v="5"/>
    <x v="0"/>
    <s v="Direct"/>
    <x v="1"/>
    <d v="2024-06-08T00:00:00"/>
    <x v="17"/>
    <x v="1"/>
    <x v="0"/>
    <s v="A+"/>
    <s v="Gazipura 27"/>
    <s v="1km -3km"/>
    <x v="0"/>
    <x v="37"/>
  </r>
  <r>
    <s v="ACX96"/>
    <x v="94"/>
    <x v="5"/>
    <x v="0"/>
    <s v="Direct"/>
    <x v="1"/>
    <d v="2024-06-08T00:00:00"/>
    <x v="17"/>
    <x v="1"/>
    <x v="0"/>
    <s v="B+"/>
    <s v="Shimultoli"/>
    <s v="3km-5km"/>
    <x v="0"/>
    <x v="38"/>
  </r>
  <r>
    <s v="ACX97"/>
    <x v="51"/>
    <x v="0"/>
    <x v="0"/>
    <s v="Direct"/>
    <x v="1"/>
    <d v="2024-06-08T00:00:00"/>
    <x v="17"/>
    <x v="1"/>
    <x v="0"/>
    <s v="B+"/>
    <s v="Gazipur Chowrasta"/>
    <s v="5km-10km"/>
    <x v="0"/>
    <x v="39"/>
  </r>
  <r>
    <s v="ACX98"/>
    <x v="52"/>
    <x v="0"/>
    <x v="0"/>
    <s v="Direct"/>
    <x v="1"/>
    <d v="2024-06-08T00:00:00"/>
    <x v="17"/>
    <x v="1"/>
    <x v="0"/>
    <s v="A+"/>
    <s v="College Gate"/>
    <s v="3km-5km"/>
    <x v="0"/>
    <x v="40"/>
  </r>
  <r>
    <s v="ACX99"/>
    <x v="53"/>
    <x v="0"/>
    <x v="0"/>
    <s v="Direct"/>
    <x v="1"/>
    <d v="2024-06-08T00:00:00"/>
    <x v="17"/>
    <x v="1"/>
    <x v="1"/>
    <s v="B+"/>
    <s v="Gazipura 27"/>
    <s v="1km -3km"/>
    <x v="0"/>
    <x v="41"/>
  </r>
  <r>
    <s v="ACX100"/>
    <x v="54"/>
    <x v="0"/>
    <x v="0"/>
    <s v="Direct"/>
    <x v="1"/>
    <d v="2024-06-08T00:00:00"/>
    <x v="17"/>
    <x v="1"/>
    <x v="0"/>
    <s v="AB+"/>
    <s v="Board Bazar"/>
    <s v="3km-5km"/>
    <x v="0"/>
    <x v="42"/>
  </r>
  <r>
    <s v="ACX101"/>
    <x v="55"/>
    <x v="3"/>
    <x v="0"/>
    <s v="Direct"/>
    <x v="1"/>
    <d v="2024-06-08T00:00:00"/>
    <x v="17"/>
    <x v="1"/>
    <x v="0"/>
    <s v="B+"/>
    <s v="Gazipura 27"/>
    <s v="1km -3km"/>
    <x v="0"/>
    <x v="43"/>
  </r>
  <r>
    <s v="ACX102"/>
    <x v="56"/>
    <x v="2"/>
    <x v="0"/>
    <s v="Direct"/>
    <x v="1"/>
    <d v="2024-06-08T00:00:00"/>
    <x v="17"/>
    <x v="1"/>
    <x v="0"/>
    <s v="A+"/>
    <s v="Gazipura 27"/>
    <s v="1km -3km"/>
    <x v="0"/>
    <x v="44"/>
  </r>
  <r>
    <s v="ACX103"/>
    <x v="57"/>
    <x v="2"/>
    <x v="0"/>
    <s v="Direct"/>
    <x v="1"/>
    <d v="2024-06-08T00:00:00"/>
    <x v="17"/>
    <x v="1"/>
    <x v="0"/>
    <s v="B+"/>
    <s v="Gazipura 27"/>
    <s v="1km -3km"/>
    <x v="0"/>
    <x v="0"/>
  </r>
  <r>
    <s v="ACX104"/>
    <x v="58"/>
    <x v="2"/>
    <x v="0"/>
    <s v="Direct"/>
    <x v="1"/>
    <d v="2024-06-08T00:00:00"/>
    <x v="17"/>
    <x v="0"/>
    <x v="0"/>
    <s v="A+"/>
    <s v="Gazipura 27"/>
    <s v="1km -3km"/>
    <x v="0"/>
    <x v="0"/>
  </r>
  <r>
    <s v="ACX105"/>
    <x v="59"/>
    <x v="3"/>
    <x v="0"/>
    <s v="Direct"/>
    <x v="1"/>
    <d v="2024-06-08T00:00:00"/>
    <x v="17"/>
    <x v="0"/>
    <x v="0"/>
    <s v="AB+"/>
    <s v="Gazipura 27"/>
    <s v="1km -3km"/>
    <x v="0"/>
    <x v="11"/>
  </r>
  <r>
    <s v="ACX106"/>
    <x v="60"/>
    <x v="2"/>
    <x v="0"/>
    <s v="Direct"/>
    <x v="1"/>
    <d v="2024-06-08T00:00:00"/>
    <x v="17"/>
    <x v="0"/>
    <x v="0"/>
    <s v="B+"/>
    <s v="Gazipura 27"/>
    <s v="1km -3km"/>
    <x v="0"/>
    <x v="11"/>
  </r>
  <r>
    <s v="ACX107"/>
    <x v="61"/>
    <x v="2"/>
    <x v="0"/>
    <s v="Direct"/>
    <x v="1"/>
    <d v="2024-06-08T00:00:00"/>
    <x v="17"/>
    <x v="0"/>
    <x v="0"/>
    <s v="B+"/>
    <s v="Gazipura 27"/>
    <s v="1km -3km"/>
    <x v="0"/>
    <x v="11"/>
  </r>
  <r>
    <s v="ACX108"/>
    <x v="62"/>
    <x v="2"/>
    <x v="0"/>
    <s v="Direct"/>
    <x v="1"/>
    <d v="2024-06-08T00:00:00"/>
    <x v="17"/>
    <x v="0"/>
    <x v="0"/>
    <s v="A+"/>
    <s v="Gazipur Chowrasta"/>
    <s v="5km-10km"/>
    <x v="0"/>
    <x v="11"/>
  </r>
  <r>
    <s v="ACX109"/>
    <x v="95"/>
    <x v="3"/>
    <x v="0"/>
    <s v="Direct"/>
    <x v="1"/>
    <d v="2024-06-08T00:00:00"/>
    <x v="17"/>
    <x v="0"/>
    <x v="0"/>
    <s v="B+"/>
    <s v="Sign board"/>
    <s v="3km-5km"/>
    <x v="0"/>
    <x v="11"/>
  </r>
  <r>
    <s v="ACX110"/>
    <x v="96"/>
    <x v="2"/>
    <x v="0"/>
    <s v="Direct"/>
    <x v="1"/>
    <d v="2024-06-08T00:00:00"/>
    <x v="17"/>
    <x v="0"/>
    <x v="0"/>
    <s v="O-"/>
    <s v="Hossen Market"/>
    <s v="1km -3km"/>
    <x v="0"/>
    <x v="11"/>
  </r>
  <r>
    <s v="ACX111"/>
    <x v="0"/>
    <x v="2"/>
    <x v="0"/>
    <s v="Direct"/>
    <x v="1"/>
    <d v="2024-06-08T00:00:00"/>
    <x v="17"/>
    <x v="1"/>
    <x v="0"/>
    <s v="B+"/>
    <s v="Gazipura 27"/>
    <s v="1km -3km"/>
    <x v="0"/>
    <x v="11"/>
  </r>
  <r>
    <s v="ACX112"/>
    <x v="1"/>
    <x v="5"/>
    <x v="0"/>
    <s v="Direct"/>
    <x v="1"/>
    <d v="2024-06-08T00:00:00"/>
    <x v="17"/>
    <x v="0"/>
    <x v="0"/>
    <s v="O+"/>
    <s v="Mouchak"/>
    <s v="10km-15km"/>
    <x v="0"/>
    <x v="11"/>
  </r>
  <r>
    <s v="ACX113"/>
    <x v="2"/>
    <x v="2"/>
    <x v="0"/>
    <s v="Direct"/>
    <x v="1"/>
    <d v="2024-06-08T00:00:00"/>
    <x v="17"/>
    <x v="0"/>
    <x v="0"/>
    <s v="O+"/>
    <s v="Gazipura 27"/>
    <s v="1km -3km"/>
    <x v="0"/>
    <x v="11"/>
  </r>
  <r>
    <s v="ACX114"/>
    <x v="3"/>
    <x v="0"/>
    <x v="0"/>
    <s v="Direct"/>
    <x v="1"/>
    <d v="2024-06-08T00:00:00"/>
    <x v="17"/>
    <x v="0"/>
    <x v="0"/>
    <s v="O+"/>
    <s v="Bason"/>
    <s v="5km-10km"/>
    <x v="0"/>
    <x v="11"/>
  </r>
  <r>
    <s v="ACX115"/>
    <x v="4"/>
    <x v="2"/>
    <x v="4"/>
    <s v="Direct"/>
    <x v="1"/>
    <d v="2024-06-08T00:00:00"/>
    <x v="17"/>
    <x v="0"/>
    <x v="0"/>
    <s v="A+"/>
    <s v="Gazipur Chowrasta"/>
    <s v="5km-10km"/>
    <x v="0"/>
    <x v="11"/>
  </r>
  <r>
    <s v="ACX116"/>
    <x v="5"/>
    <x v="2"/>
    <x v="2"/>
    <s v="Direct"/>
    <x v="1"/>
    <d v="2024-06-09T00:00:00"/>
    <x v="18"/>
    <x v="0"/>
    <x v="0"/>
    <s v="O+"/>
    <s v="Gazipura 27"/>
    <s v="1km -3km"/>
    <x v="0"/>
    <x v="11"/>
  </r>
  <r>
    <s v="ACX117"/>
    <x v="6"/>
    <x v="2"/>
    <x v="2"/>
    <s v="Direct"/>
    <x v="1"/>
    <d v="2024-06-09T00:00:00"/>
    <x v="18"/>
    <x v="0"/>
    <x v="0"/>
    <s v="B+"/>
    <s v="Gazipura 27"/>
    <s v="1km -3km"/>
    <x v="0"/>
    <x v="11"/>
  </r>
  <r>
    <s v="ACX118"/>
    <x v="97"/>
    <x v="3"/>
    <x v="2"/>
    <s v="Direct"/>
    <x v="1"/>
    <d v="2024-06-09T00:00:00"/>
    <x v="18"/>
    <x v="0"/>
    <x v="0"/>
    <s v="B+"/>
    <s v="Board Bazar"/>
    <s v="3km-5km"/>
    <x v="0"/>
    <x v="11"/>
  </r>
  <r>
    <s v="ACX119"/>
    <x v="8"/>
    <x v="0"/>
    <x v="2"/>
    <s v="Direct"/>
    <x v="1"/>
    <d v="2024-06-09T00:00:00"/>
    <x v="18"/>
    <x v="0"/>
    <x v="0"/>
    <s v="A+"/>
    <s v="Boro Bari"/>
    <s v="3km-5km"/>
    <x v="0"/>
    <x v="11"/>
  </r>
  <r>
    <s v="ACX120"/>
    <x v="9"/>
    <x v="0"/>
    <x v="2"/>
    <s v="Direct"/>
    <x v="1"/>
    <d v="2024-06-09T00:00:00"/>
    <x v="18"/>
    <x v="0"/>
    <x v="0"/>
    <s v="N/A"/>
    <s v="Ershad Nagar"/>
    <s v="1km -3km"/>
    <x v="0"/>
    <x v="11"/>
  </r>
  <r>
    <s v="ACX121"/>
    <x v="10"/>
    <x v="5"/>
    <x v="5"/>
    <s v="Direct"/>
    <x v="1"/>
    <d v="2024-06-09T00:00:00"/>
    <x v="18"/>
    <x v="0"/>
    <x v="1"/>
    <s v="B+"/>
    <s v="Airport"/>
    <s v="5km-10km"/>
    <x v="0"/>
    <x v="11"/>
  </r>
  <r>
    <s v="ACX122"/>
    <x v="11"/>
    <x v="5"/>
    <x v="3"/>
    <s v="Direct"/>
    <x v="1"/>
    <d v="2024-06-09T00:00:00"/>
    <x v="18"/>
    <x v="0"/>
    <x v="0"/>
    <s v="B+"/>
    <s v="Gazipur Sadar"/>
    <s v="10km-15km"/>
    <x v="0"/>
    <x v="11"/>
  </r>
  <r>
    <s v="ACX123"/>
    <x v="12"/>
    <x v="0"/>
    <x v="6"/>
    <s v="Direct"/>
    <x v="1"/>
    <d v="2024-06-09T00:00:00"/>
    <x v="18"/>
    <x v="0"/>
    <x v="0"/>
    <s v="B+"/>
    <s v="Uttara"/>
    <s v="5km-10km"/>
    <x v="0"/>
    <x v="11"/>
  </r>
  <r>
    <s v="ACX124"/>
    <x v="13"/>
    <x v="0"/>
    <x v="7"/>
    <s v="Direct"/>
    <x v="1"/>
    <d v="2024-06-09T00:00:00"/>
    <x v="18"/>
    <x v="0"/>
    <x v="0"/>
    <s v="A+"/>
    <s v="Gazipura 27"/>
    <s v="1km -3km"/>
    <x v="0"/>
    <x v="11"/>
  </r>
  <r>
    <s v="ACX125"/>
    <x v="14"/>
    <x v="0"/>
    <x v="0"/>
    <s v="Direct"/>
    <x v="1"/>
    <d v="2024-06-09T00:00:00"/>
    <x v="18"/>
    <x v="0"/>
    <x v="0"/>
    <s v="B+"/>
    <s v="Gazipura 27"/>
    <s v="1km -3km"/>
    <x v="0"/>
    <x v="11"/>
  </r>
  <r>
    <s v="ACX126"/>
    <x v="15"/>
    <x v="0"/>
    <x v="0"/>
    <s v="Direct"/>
    <x v="1"/>
    <d v="2024-06-09T00:00:00"/>
    <x v="18"/>
    <x v="0"/>
    <x v="0"/>
    <s v="O+"/>
    <s v="Hariken"/>
    <s v="3km-5km"/>
    <x v="0"/>
    <x v="45"/>
  </r>
  <r>
    <s v="ACX127"/>
    <x v="16"/>
    <x v="3"/>
    <x v="0"/>
    <s v="Direct"/>
    <x v="1"/>
    <d v="2024-06-09T00:00:00"/>
    <x v="18"/>
    <x v="1"/>
    <x v="1"/>
    <s v="O+"/>
    <s v="Ershad Nagar"/>
    <s v="1km -3km"/>
    <x v="0"/>
    <x v="11"/>
  </r>
  <r>
    <s v="ACX128"/>
    <x v="17"/>
    <x v="2"/>
    <x v="0"/>
    <s v="Direct"/>
    <x v="1"/>
    <d v="2024-06-09T00:00:00"/>
    <x v="18"/>
    <x v="0"/>
    <x v="0"/>
    <s v="A+"/>
    <s v="Ershad Nagar"/>
    <s v="1km -3km"/>
    <x v="0"/>
    <x v="11"/>
  </r>
  <r>
    <s v="ACX129"/>
    <x v="18"/>
    <x v="2"/>
    <x v="0"/>
    <s v="Direct"/>
    <x v="1"/>
    <d v="2024-06-09T00:00:00"/>
    <x v="18"/>
    <x v="0"/>
    <x v="0"/>
    <s v="B+"/>
    <s v="Ershad Nagar"/>
    <s v="1km -3km"/>
    <x v="0"/>
    <x v="11"/>
  </r>
  <r>
    <s v="ACX130"/>
    <x v="19"/>
    <x v="2"/>
    <x v="0"/>
    <s v="Direct"/>
    <x v="1"/>
    <d v="2024-06-09T00:00:00"/>
    <x v="18"/>
    <x v="0"/>
    <x v="0"/>
    <s v="A+"/>
    <s v="Ershad Nagar"/>
    <s v="1km -3km"/>
    <x v="0"/>
    <x v="11"/>
  </r>
  <r>
    <s v="ACX131"/>
    <x v="20"/>
    <x v="3"/>
    <x v="0"/>
    <s v="Direct"/>
    <x v="1"/>
    <d v="2024-06-09T00:00:00"/>
    <x v="18"/>
    <x v="0"/>
    <x v="1"/>
    <s v="B+"/>
    <s v="Ershad Nagar"/>
    <s v="1km -3km"/>
    <x v="0"/>
    <x v="11"/>
  </r>
  <r>
    <s v="ACX132"/>
    <x v="21"/>
    <x v="2"/>
    <x v="0"/>
    <s v="Direct"/>
    <x v="1"/>
    <d v="2024-06-09T00:00:00"/>
    <x v="18"/>
    <x v="0"/>
    <x v="0"/>
    <s v="N/A"/>
    <s v="Ershad Nagar"/>
    <s v="1km -3km"/>
    <x v="0"/>
    <x v="11"/>
  </r>
  <r>
    <s v="ACX133"/>
    <x v="98"/>
    <x v="0"/>
    <x v="0"/>
    <s v="Direct"/>
    <x v="1"/>
    <d v="2024-06-09T00:00:00"/>
    <x v="18"/>
    <x v="0"/>
    <x v="1"/>
    <s v="B+"/>
    <s v="Tongi Bazar"/>
    <s v="5km-10km"/>
    <x v="0"/>
    <x v="11"/>
  </r>
  <r>
    <s v="ACX134"/>
    <x v="99"/>
    <x v="2"/>
    <x v="0"/>
    <s v="Direct"/>
    <x v="1"/>
    <d v="2024-06-09T00:00:00"/>
    <x v="18"/>
    <x v="0"/>
    <x v="0"/>
    <s v="B+"/>
    <s v="Ershad Nagar"/>
    <s v="1km -3km"/>
    <x v="0"/>
    <x v="11"/>
  </r>
  <r>
    <s v="ACX135"/>
    <x v="100"/>
    <x v="2"/>
    <x v="0"/>
    <s v="Direct"/>
    <x v="1"/>
    <d v="2024-06-09T00:00:00"/>
    <x v="18"/>
    <x v="0"/>
    <x v="0"/>
    <s v="B+"/>
    <s v="Gazipura 27"/>
    <s v="1km -3km"/>
    <x v="0"/>
    <x v="11"/>
  </r>
  <r>
    <s v="ACX136"/>
    <x v="101"/>
    <x v="2"/>
    <x v="0"/>
    <s v="Direct"/>
    <x v="1"/>
    <d v="2024-06-09T00:00:00"/>
    <x v="18"/>
    <x v="0"/>
    <x v="0"/>
    <s v="AB+"/>
    <s v="Ershad Nagar"/>
    <s v="1km -3km"/>
    <x v="0"/>
    <x v="11"/>
  </r>
  <r>
    <s v="ACX137"/>
    <x v="102"/>
    <x v="2"/>
    <x v="0"/>
    <s v="Direct"/>
    <x v="1"/>
    <d v="2024-06-09T00:00:00"/>
    <x v="18"/>
    <x v="0"/>
    <x v="1"/>
    <s v="O+"/>
    <s v="Ershad Nagar"/>
    <s v="1km -3km"/>
    <x v="0"/>
    <x v="11"/>
  </r>
  <r>
    <s v="ACX138"/>
    <x v="103"/>
    <x v="0"/>
    <x v="0"/>
    <s v="Direct"/>
    <x v="1"/>
    <d v="2024-06-09T00:00:00"/>
    <x v="18"/>
    <x v="1"/>
    <x v="1"/>
    <s v="AB+"/>
    <s v="Gazipura 27"/>
    <s v="1km -3km"/>
    <x v="0"/>
    <x v="11"/>
  </r>
  <r>
    <s v="ACX139"/>
    <x v="104"/>
    <x v="3"/>
    <x v="0"/>
    <s v="Direct"/>
    <x v="1"/>
    <d v="2024-06-09T00:00:00"/>
    <x v="18"/>
    <x v="1"/>
    <x v="0"/>
    <s v="AB+"/>
    <s v="Gazipura 27"/>
    <s v="1km -3km"/>
    <x v="0"/>
    <x v="11"/>
  </r>
  <r>
    <s v="ACX140"/>
    <x v="105"/>
    <x v="0"/>
    <x v="0"/>
    <s v="Direct"/>
    <x v="1"/>
    <d v="2024-06-09T00:00:00"/>
    <x v="18"/>
    <x v="1"/>
    <x v="1"/>
    <s v="A+"/>
    <s v="Sign board"/>
    <s v="3km-5km"/>
    <x v="0"/>
    <x v="11"/>
  </r>
  <r>
    <s v="ACX141"/>
    <x v="106"/>
    <x v="3"/>
    <x v="0"/>
    <s v="Direct"/>
    <x v="1"/>
    <d v="2024-06-09T00:00:00"/>
    <x v="18"/>
    <x v="1"/>
    <x v="0"/>
    <s v="A+"/>
    <s v="Boro Bari"/>
    <s v="3km-5km"/>
    <x v="0"/>
    <x v="11"/>
  </r>
  <r>
    <s v="ACX142"/>
    <x v="107"/>
    <x v="3"/>
    <x v="0"/>
    <s v="Direct"/>
    <x v="1"/>
    <d v="2024-06-09T00:00:00"/>
    <x v="18"/>
    <x v="1"/>
    <x v="0"/>
    <s v="AB+"/>
    <s v="Board Bazar"/>
    <s v="3km-5km"/>
    <x v="0"/>
    <x v="11"/>
  </r>
  <r>
    <s v="ACX143"/>
    <x v="108"/>
    <x v="3"/>
    <x v="0"/>
    <s v="Direct"/>
    <x v="1"/>
    <d v="2024-06-09T00:00:00"/>
    <x v="18"/>
    <x v="1"/>
    <x v="0"/>
    <s v="O+"/>
    <s v="Board Bazar"/>
    <s v="3km-5km"/>
    <x v="0"/>
    <x v="11"/>
  </r>
  <r>
    <s v="ACX144"/>
    <x v="109"/>
    <x v="3"/>
    <x v="0"/>
    <s v="Direct"/>
    <x v="1"/>
    <d v="2024-06-09T00:00:00"/>
    <x v="18"/>
    <x v="1"/>
    <x v="0"/>
    <s v="A+"/>
    <s v="Gazipura 27"/>
    <s v="1km -3km"/>
    <x v="0"/>
    <x v="11"/>
  </r>
  <r>
    <s v="ACX145"/>
    <x v="110"/>
    <x v="0"/>
    <x v="0"/>
    <s v="Direct"/>
    <x v="1"/>
    <d v="2024-06-09T00:00:00"/>
    <x v="18"/>
    <x v="0"/>
    <x v="0"/>
    <s v="O+"/>
    <s v="Gazipura 27"/>
    <s v="1km -3km"/>
    <x v="0"/>
    <x v="11"/>
  </r>
  <r>
    <s v="ACX146"/>
    <x v="111"/>
    <x v="2"/>
    <x v="0"/>
    <s v="Direct"/>
    <x v="1"/>
    <d v="2024-06-09T00:00:00"/>
    <x v="18"/>
    <x v="0"/>
    <x v="0"/>
    <s v="AB+"/>
    <s v="Gazipura 27"/>
    <s v="1km -3km"/>
    <x v="0"/>
    <x v="11"/>
  </r>
  <r>
    <s v="ACX147"/>
    <x v="112"/>
    <x v="2"/>
    <x v="0"/>
    <s v="Direct"/>
    <x v="1"/>
    <d v="2024-06-09T00:00:00"/>
    <x v="18"/>
    <x v="0"/>
    <x v="0"/>
    <s v="B+"/>
    <s v="Gazipura 27"/>
    <s v="1km -3km"/>
    <x v="0"/>
    <x v="11"/>
  </r>
  <r>
    <s v="ACX148"/>
    <x v="113"/>
    <x v="2"/>
    <x v="0"/>
    <s v="Direct"/>
    <x v="1"/>
    <d v="2024-06-09T00:00:00"/>
    <x v="18"/>
    <x v="0"/>
    <x v="0"/>
    <s v="A+"/>
    <s v="Gazipura 27"/>
    <s v="1km -3km"/>
    <x v="0"/>
    <x v="11"/>
  </r>
  <r>
    <s v="ACX149"/>
    <x v="114"/>
    <x v="3"/>
    <x v="0"/>
    <s v="Direct"/>
    <x v="1"/>
    <d v="2024-06-09T00:00:00"/>
    <x v="18"/>
    <x v="0"/>
    <x v="0"/>
    <s v="O+"/>
    <s v="Gazipura 27"/>
    <s v="1km -3km"/>
    <x v="0"/>
    <x v="11"/>
  </r>
  <r>
    <s v="ACX150"/>
    <x v="115"/>
    <x v="0"/>
    <x v="0"/>
    <s v="Direct"/>
    <x v="1"/>
    <d v="2024-06-09T00:00:00"/>
    <x v="18"/>
    <x v="0"/>
    <x v="0"/>
    <s v="O+"/>
    <s v="Board Bazar"/>
    <s v="3km-5km"/>
    <x v="0"/>
    <x v="11"/>
  </r>
  <r>
    <s v="ACX151"/>
    <x v="116"/>
    <x v="5"/>
    <x v="0"/>
    <s v="Direct"/>
    <x v="1"/>
    <d v="2024-06-09T00:00:00"/>
    <x v="18"/>
    <x v="0"/>
    <x v="0"/>
    <s v="A+"/>
    <s v="Boro Bari"/>
    <s v="3km-5km"/>
    <x v="0"/>
    <x v="11"/>
  </r>
  <r>
    <s v="ACX152"/>
    <x v="117"/>
    <x v="5"/>
    <x v="0"/>
    <s v="Direct"/>
    <x v="1"/>
    <d v="2024-06-09T00:00:00"/>
    <x v="18"/>
    <x v="0"/>
    <x v="0"/>
    <s v="B+"/>
    <s v="Gazipura 27"/>
    <s v="1km -3km"/>
    <x v="0"/>
    <x v="11"/>
  </r>
  <r>
    <s v="ACX153"/>
    <x v="118"/>
    <x v="5"/>
    <x v="0"/>
    <s v="Direct"/>
    <x v="1"/>
    <d v="2024-06-09T00:00:00"/>
    <x v="18"/>
    <x v="0"/>
    <x v="0"/>
    <s v="O+"/>
    <s v="Gazipura 27"/>
    <s v="1km -3km"/>
    <x v="0"/>
    <x v="11"/>
  </r>
  <r>
    <s v="ACX154"/>
    <x v="119"/>
    <x v="5"/>
    <x v="7"/>
    <s v="Direct"/>
    <x v="1"/>
    <d v="2024-06-09T00:00:00"/>
    <x v="18"/>
    <x v="0"/>
    <x v="0"/>
    <s v="A+"/>
    <s v="Gazipura 27"/>
    <s v="1km -3km"/>
    <x v="0"/>
    <x v="11"/>
  </r>
  <r>
    <s v="ACX155"/>
    <x v="120"/>
    <x v="3"/>
    <x v="0"/>
    <s v="Direct"/>
    <x v="1"/>
    <d v="2024-06-09T00:00:00"/>
    <x v="18"/>
    <x v="1"/>
    <x v="0"/>
    <s v="A+"/>
    <s v="Board Bazar"/>
    <s v="3km-5km"/>
    <x v="0"/>
    <x v="11"/>
  </r>
  <r>
    <s v="ACX156"/>
    <x v="121"/>
    <x v="3"/>
    <x v="0"/>
    <s v="Direct"/>
    <x v="1"/>
    <d v="2024-06-09T00:00:00"/>
    <x v="18"/>
    <x v="0"/>
    <x v="1"/>
    <s v="AB+"/>
    <s v="Board Bazar"/>
    <s v="3km-5km"/>
    <x v="0"/>
    <x v="11"/>
  </r>
  <r>
    <s v="ACX157"/>
    <x v="122"/>
    <x v="2"/>
    <x v="0"/>
    <s v="Direct"/>
    <x v="1"/>
    <d v="2024-06-09T00:00:00"/>
    <x v="18"/>
    <x v="0"/>
    <x v="1"/>
    <s v="B+"/>
    <s v="Gazipura 27"/>
    <s v="1km -3km"/>
    <x v="0"/>
    <x v="11"/>
  </r>
  <r>
    <s v="ACX158"/>
    <x v="123"/>
    <x v="2"/>
    <x v="0"/>
    <s v="Direct"/>
    <x v="1"/>
    <d v="2024-06-09T00:00:00"/>
    <x v="18"/>
    <x v="0"/>
    <x v="0"/>
    <s v="B+"/>
    <s v="Gazipura 27"/>
    <s v="1km -3km"/>
    <x v="0"/>
    <x v="11"/>
  </r>
  <r>
    <s v="ACX159"/>
    <x v="124"/>
    <x v="2"/>
    <x v="0"/>
    <s v="Direct"/>
    <x v="1"/>
    <d v="2024-06-09T00:00:00"/>
    <x v="18"/>
    <x v="0"/>
    <x v="0"/>
    <s v="A+"/>
    <s v="Gazipur Chowrasta"/>
    <s v="5km-10km"/>
    <x v="0"/>
    <x v="11"/>
  </r>
  <r>
    <s v="ACX160"/>
    <x v="125"/>
    <x v="3"/>
    <x v="0"/>
    <s v="Direct"/>
    <x v="1"/>
    <d v="2024-06-10T00:00:00"/>
    <x v="19"/>
    <x v="0"/>
    <x v="0"/>
    <s v="B+"/>
    <s v="Gazipur Chowrasta"/>
    <s v="5km-10km"/>
    <x v="0"/>
    <x v="11"/>
  </r>
  <r>
    <s v="ACX161"/>
    <x v="126"/>
    <x v="2"/>
    <x v="0"/>
    <s v="Direct"/>
    <x v="1"/>
    <d v="2024-06-10T00:00:00"/>
    <x v="19"/>
    <x v="0"/>
    <x v="0"/>
    <s v="B+"/>
    <s v="Gazipura 27"/>
    <s v="1km -3km"/>
    <x v="0"/>
    <x v="11"/>
  </r>
  <r>
    <s v="ACX162"/>
    <x v="127"/>
    <x v="0"/>
    <x v="0"/>
    <s v="Direct"/>
    <x v="1"/>
    <d v="2024-06-10T00:00:00"/>
    <x v="19"/>
    <x v="0"/>
    <x v="0"/>
    <s v="B+"/>
    <s v="Gacha"/>
    <s v="3km-5km"/>
    <x v="0"/>
    <x v="11"/>
  </r>
  <r>
    <s v="ACX163"/>
    <x v="71"/>
    <x v="0"/>
    <x v="0"/>
    <s v="Direct"/>
    <x v="1"/>
    <d v="2024-06-10T00:00:00"/>
    <x v="19"/>
    <x v="0"/>
    <x v="0"/>
    <s v="O+"/>
    <s v="Bason"/>
    <s v="5km-10km"/>
    <x v="0"/>
    <x v="11"/>
  </r>
  <r>
    <s v="ACX164"/>
    <x v="128"/>
    <x v="0"/>
    <x v="0"/>
    <s v="Direct"/>
    <x v="1"/>
    <d v="2024-06-10T00:00:00"/>
    <x v="19"/>
    <x v="0"/>
    <x v="0"/>
    <s v="N/A"/>
    <s v="Gazipura 27"/>
    <s v="1km -3km"/>
    <x v="0"/>
    <x v="11"/>
  </r>
  <r>
    <s v="ACX165"/>
    <x v="129"/>
    <x v="2"/>
    <x v="0"/>
    <s v="Direct"/>
    <x v="1"/>
    <d v="2024-06-10T00:00:00"/>
    <x v="19"/>
    <x v="0"/>
    <x v="1"/>
    <s v="B-"/>
    <s v="Gazipura 27"/>
    <s v="1km -3km"/>
    <x v="0"/>
    <x v="11"/>
  </r>
  <r>
    <s v="ACX166"/>
    <x v="130"/>
    <x v="2"/>
    <x v="0"/>
    <s v="Direct"/>
    <x v="1"/>
    <d v="2024-06-10T00:00:00"/>
    <x v="19"/>
    <x v="1"/>
    <x v="1"/>
    <s v="A-"/>
    <s v="Gazipura 27"/>
    <s v="1km -3km"/>
    <x v="0"/>
    <x v="11"/>
  </r>
  <r>
    <s v="ACX167"/>
    <x v="131"/>
    <x v="0"/>
    <x v="0"/>
    <s v="Direct"/>
    <x v="1"/>
    <d v="2024-06-10T00:00:00"/>
    <x v="19"/>
    <x v="1"/>
    <x v="0"/>
    <s v="A+"/>
    <s v="Gacha"/>
    <s v="3km-5km"/>
    <x v="0"/>
    <x v="11"/>
  </r>
  <r>
    <s v="ACX168"/>
    <x v="132"/>
    <x v="0"/>
    <x v="0"/>
    <s v="Direct"/>
    <x v="1"/>
    <d v="2024-06-10T00:00:00"/>
    <x v="19"/>
    <x v="1"/>
    <x v="0"/>
    <s v="A+"/>
    <s v="Board Bazar"/>
    <s v="3km-5km"/>
    <x v="0"/>
    <x v="11"/>
  </r>
  <r>
    <s v="ACX169"/>
    <x v="133"/>
    <x v="3"/>
    <x v="0"/>
    <s v="Direct"/>
    <x v="1"/>
    <d v="2024-06-10T00:00:00"/>
    <x v="19"/>
    <x v="1"/>
    <x v="0"/>
    <s v="O+"/>
    <s v="Ershad Nagar"/>
    <s v="1km -3km"/>
    <x v="0"/>
    <x v="11"/>
  </r>
  <r>
    <s v="ACX170"/>
    <x v="134"/>
    <x v="2"/>
    <x v="0"/>
    <s v="Direct"/>
    <x v="1"/>
    <d v="2024-06-10T00:00:00"/>
    <x v="19"/>
    <x v="1"/>
    <x v="0"/>
    <s v="O+"/>
    <s v="Board Bazar"/>
    <s v="3km-5km"/>
    <x v="0"/>
    <x v="11"/>
  </r>
  <r>
    <s v="ACX171"/>
    <x v="135"/>
    <x v="2"/>
    <x v="0"/>
    <s v="Direct"/>
    <x v="1"/>
    <d v="2024-06-10T00:00:00"/>
    <x v="19"/>
    <x v="1"/>
    <x v="0"/>
    <s v="O+"/>
    <s v="Ershad Nagar"/>
    <s v="1km -3km"/>
    <x v="0"/>
    <x v="11"/>
  </r>
  <r>
    <s v="ACX172"/>
    <x v="136"/>
    <x v="5"/>
    <x v="0"/>
    <s v="Direct"/>
    <x v="1"/>
    <d v="2024-06-10T00:00:00"/>
    <x v="19"/>
    <x v="0"/>
    <x v="0"/>
    <s v="O+"/>
    <s v="Gazipura 27"/>
    <s v="1km -3km"/>
    <x v="0"/>
    <x v="11"/>
  </r>
  <r>
    <s v="ACX173"/>
    <x v="137"/>
    <x v="0"/>
    <x v="0"/>
    <s v="Direct"/>
    <x v="1"/>
    <d v="2024-06-10T00:00:00"/>
    <x v="19"/>
    <x v="0"/>
    <x v="0"/>
    <s v="A+"/>
    <s v="Board Bazar"/>
    <s v="3km-5km"/>
    <x v="0"/>
    <x v="11"/>
  </r>
  <r>
    <s v="ACX174"/>
    <x v="138"/>
    <x v="2"/>
    <x v="0"/>
    <s v="Direct"/>
    <x v="1"/>
    <d v="2024-06-10T00:00:00"/>
    <x v="19"/>
    <x v="1"/>
    <x v="1"/>
    <s v="B+"/>
    <s v="Gazipura 27"/>
    <s v="1km -3km"/>
    <x v="0"/>
    <x v="11"/>
  </r>
  <r>
    <s v="ACX175"/>
    <x v="139"/>
    <x v="2"/>
    <x v="0"/>
    <s v="Direct"/>
    <x v="1"/>
    <d v="2024-06-10T00:00:00"/>
    <x v="19"/>
    <x v="1"/>
    <x v="0"/>
    <s v="B+"/>
    <s v="Hossen Market"/>
    <s v="1km -3km"/>
    <x v="0"/>
    <x v="11"/>
  </r>
  <r>
    <s v="ACX176"/>
    <x v="140"/>
    <x v="3"/>
    <x v="0"/>
    <s v="Direct"/>
    <x v="1"/>
    <d v="2024-06-11T00:00:00"/>
    <x v="20"/>
    <x v="1"/>
    <x v="1"/>
    <s v="N/A"/>
    <s v="Vogra Baypass"/>
    <s v="5km-10km"/>
    <x v="0"/>
    <x v="11"/>
  </r>
  <r>
    <s v="ACX177"/>
    <x v="141"/>
    <x v="3"/>
    <x v="0"/>
    <s v="Direct"/>
    <x v="1"/>
    <d v="2024-06-11T00:00:00"/>
    <x v="20"/>
    <x v="0"/>
    <x v="0"/>
    <s v="B+"/>
    <s v="Board Bazar"/>
    <s v="3km-5km"/>
    <x v="0"/>
    <x v="11"/>
  </r>
  <r>
    <s v="ACX178"/>
    <x v="142"/>
    <x v="0"/>
    <x v="0"/>
    <s v="Direct"/>
    <x v="1"/>
    <d v="2024-06-11T00:00:00"/>
    <x v="20"/>
    <x v="0"/>
    <x v="0"/>
    <s v="B+"/>
    <s v="Ershad Nagar"/>
    <s v="1km -3km"/>
    <x v="0"/>
    <x v="11"/>
  </r>
  <r>
    <s v="ACX179"/>
    <x v="143"/>
    <x v="0"/>
    <x v="0"/>
    <s v="Direct"/>
    <x v="1"/>
    <d v="2024-06-11T00:00:00"/>
    <x v="20"/>
    <x v="0"/>
    <x v="0"/>
    <s v="A+"/>
    <s v="Gazipura 27"/>
    <s v="1km -3km"/>
    <x v="0"/>
    <x v="11"/>
  </r>
  <r>
    <s v="ACX180"/>
    <x v="144"/>
    <x v="2"/>
    <x v="6"/>
    <s v="Direct"/>
    <x v="1"/>
    <d v="2024-06-11T00:00:00"/>
    <x v="20"/>
    <x v="0"/>
    <x v="0"/>
    <s v="A+"/>
    <s v="Gazipura 27"/>
    <s v="1km -3km"/>
    <x v="0"/>
    <x v="11"/>
  </r>
  <r>
    <s v="ACX181"/>
    <x v="145"/>
    <x v="2"/>
    <x v="0"/>
    <s v="Direct"/>
    <x v="1"/>
    <d v="2024-06-11T00:00:00"/>
    <x v="20"/>
    <x v="0"/>
    <x v="0"/>
    <s v="B+"/>
    <s v="Gazipura 27"/>
    <s v="1km -3km"/>
    <x v="0"/>
    <x v="11"/>
  </r>
  <r>
    <s v="ACX182"/>
    <x v="146"/>
    <x v="5"/>
    <x v="2"/>
    <s v="Indirect"/>
    <x v="1"/>
    <d v="2024-06-14T00:00:00"/>
    <x v="21"/>
    <x v="0"/>
    <x v="1"/>
    <s v="A+"/>
    <s v="Gazipura 27"/>
    <s v="1km -3km"/>
    <x v="0"/>
    <x v="11"/>
  </r>
  <r>
    <s v="ACX183"/>
    <x v="147"/>
    <x v="2"/>
    <x v="0"/>
    <s v="Direct"/>
    <x v="1"/>
    <d v="2024-06-14T00:00:00"/>
    <x v="21"/>
    <x v="1"/>
    <x v="0"/>
    <s v="A+"/>
    <s v="Gazipura 27"/>
    <s v="1km -3km"/>
    <x v="0"/>
    <x v="11"/>
  </r>
  <r>
    <s v="ACX184"/>
    <x v="148"/>
    <x v="3"/>
    <x v="0"/>
    <s v="Direct"/>
    <x v="1"/>
    <d v="2024-06-14T00:00:00"/>
    <x v="21"/>
    <x v="1"/>
    <x v="0"/>
    <s v="A+"/>
    <s v="Gazipura 27"/>
    <s v="1km -3km"/>
    <x v="0"/>
    <x v="11"/>
  </r>
  <r>
    <s v="ACX185"/>
    <x v="149"/>
    <x v="2"/>
    <x v="0"/>
    <s v="Direct"/>
    <x v="1"/>
    <d v="2024-06-14T00:00:00"/>
    <x v="21"/>
    <x v="1"/>
    <x v="0"/>
    <s v="A+"/>
    <s v="Gazipura 27"/>
    <s v="1km -3km"/>
    <x v="0"/>
    <x v="11"/>
  </r>
  <r>
    <s v="ACX186"/>
    <x v="101"/>
    <x v="3"/>
    <x v="0"/>
    <s v="Direct"/>
    <x v="1"/>
    <d v="2024-06-14T00:00:00"/>
    <x v="21"/>
    <x v="0"/>
    <x v="0"/>
    <s v="O+"/>
    <s v="Ershad Nagar"/>
    <s v="1km -3km"/>
    <x v="0"/>
    <x v="11"/>
  </r>
  <r>
    <s v="ACX187"/>
    <x v="150"/>
    <x v="3"/>
    <x v="7"/>
    <s v="Direct"/>
    <x v="1"/>
    <d v="2024-06-14T00:00:00"/>
    <x v="21"/>
    <x v="0"/>
    <x v="0"/>
    <s v="O+"/>
    <s v="Gazipur Chowrasta"/>
    <s v="5km-10km"/>
    <x v="0"/>
    <x v="11"/>
  </r>
  <r>
    <s v="ACX188"/>
    <x v="151"/>
    <x v="0"/>
    <x v="0"/>
    <s v="Direct"/>
    <x v="1"/>
    <d v="2024-06-14T00:00:00"/>
    <x v="21"/>
    <x v="0"/>
    <x v="0"/>
    <s v="B+"/>
    <s v="Gazipura 27"/>
    <s v="1km -3km"/>
    <x v="0"/>
    <x v="11"/>
  </r>
  <r>
    <s v="ACX189"/>
    <x v="152"/>
    <x v="0"/>
    <x v="0"/>
    <s v="Direct"/>
    <x v="1"/>
    <d v="2024-06-14T00:00:00"/>
    <x v="21"/>
    <x v="0"/>
    <x v="0"/>
    <s v="B+"/>
    <s v="Board Bazar"/>
    <s v="3km-5km"/>
    <x v="0"/>
    <x v="11"/>
  </r>
  <r>
    <s v="ACX190"/>
    <x v="153"/>
    <x v="2"/>
    <x v="0"/>
    <s v="Direct"/>
    <x v="1"/>
    <d v="2024-06-14T00:00:00"/>
    <x v="21"/>
    <x v="0"/>
    <x v="0"/>
    <s v="O+"/>
    <s v="Gazipura 27"/>
    <s v="1km -3km"/>
    <x v="0"/>
    <x v="11"/>
  </r>
  <r>
    <s v="ACX191"/>
    <x v="154"/>
    <x v="2"/>
    <x v="0"/>
    <s v="Direct"/>
    <x v="1"/>
    <d v="2024-06-14T00:00:00"/>
    <x v="21"/>
    <x v="0"/>
    <x v="0"/>
    <s v="O+"/>
    <s v="Gazipura 27"/>
    <s v="1km -3km"/>
    <x v="0"/>
    <x v="11"/>
  </r>
  <r>
    <s v="ACX192"/>
    <x v="155"/>
    <x v="5"/>
    <x v="7"/>
    <s v="Direct"/>
    <x v="1"/>
    <d v="2024-06-14T00:00:00"/>
    <x v="21"/>
    <x v="0"/>
    <x v="0"/>
    <s v="A+"/>
    <s v="Gazipura 27"/>
    <s v="1km -3km"/>
    <x v="0"/>
    <x v="11"/>
  </r>
  <r>
    <s v="ACX193"/>
    <x v="156"/>
    <x v="2"/>
    <x v="0"/>
    <s v="Direct"/>
    <x v="1"/>
    <d v="2024-06-14T00:00:00"/>
    <x v="21"/>
    <x v="1"/>
    <x v="0"/>
    <s v="O+"/>
    <s v="Board Bazar"/>
    <s v="3km-5km"/>
    <x v="0"/>
    <x v="11"/>
  </r>
  <r>
    <s v="ACX194"/>
    <x v="157"/>
    <x v="3"/>
    <x v="0"/>
    <s v="Direct"/>
    <x v="1"/>
    <d v="2024-06-14T00:00:00"/>
    <x v="21"/>
    <x v="1"/>
    <x v="0"/>
    <s v="B+"/>
    <s v="Gazipur Chowrasta"/>
    <s v="5km-10km"/>
    <x v="0"/>
    <x v="11"/>
  </r>
  <r>
    <s v="ACX195"/>
    <x v="158"/>
    <x v="2"/>
    <x v="0"/>
    <s v="Direct"/>
    <x v="1"/>
    <d v="2024-06-14T00:00:00"/>
    <x v="21"/>
    <x v="1"/>
    <x v="0"/>
    <s v="A+"/>
    <s v="Board Bazar"/>
    <s v="3km-5km"/>
    <x v="0"/>
    <x v="11"/>
  </r>
  <r>
    <s v="ACX196"/>
    <x v="159"/>
    <x v="2"/>
    <x v="0"/>
    <s v="Direct"/>
    <x v="1"/>
    <d v="2024-06-14T00:00:00"/>
    <x v="21"/>
    <x v="1"/>
    <x v="0"/>
    <s v="B+"/>
    <s v="Gazipura 27"/>
    <s v="1km -3km"/>
    <x v="0"/>
    <x v="11"/>
  </r>
  <r>
    <s v="ACX197"/>
    <x v="160"/>
    <x v="2"/>
    <x v="0"/>
    <s v="Direct"/>
    <x v="1"/>
    <d v="2024-06-14T00:00:00"/>
    <x v="21"/>
    <x v="1"/>
    <x v="0"/>
    <s v="A+"/>
    <s v="Gazipura 27"/>
    <s v="1km -3km"/>
    <x v="0"/>
    <x v="11"/>
  </r>
  <r>
    <s v="ACX198"/>
    <x v="161"/>
    <x v="0"/>
    <x v="0"/>
    <s v="Direct"/>
    <x v="1"/>
    <d v="2024-06-14T00:00:00"/>
    <x v="21"/>
    <x v="1"/>
    <x v="0"/>
    <s v="B+"/>
    <s v="Board Bazar"/>
    <s v="3km-5km"/>
    <x v="0"/>
    <x v="11"/>
  </r>
  <r>
    <s v="ACX199"/>
    <x v="162"/>
    <x v="3"/>
    <x v="0"/>
    <s v="Direct"/>
    <x v="1"/>
    <d v="2024-06-14T00:00:00"/>
    <x v="21"/>
    <x v="1"/>
    <x v="0"/>
    <s v="B+"/>
    <s v="Board Bazar"/>
    <s v="3km-5km"/>
    <x v="0"/>
    <x v="11"/>
  </r>
  <r>
    <s v="ACX200"/>
    <x v="163"/>
    <x v="3"/>
    <x v="0"/>
    <s v="Direct"/>
    <x v="1"/>
    <d v="2024-06-14T00:00:00"/>
    <x v="21"/>
    <x v="0"/>
    <x v="0"/>
    <s v="N/A"/>
    <s v="Ershad Nagar"/>
    <s v="1km -3km"/>
    <x v="0"/>
    <x v="11"/>
  </r>
  <r>
    <s v="ACX201"/>
    <x v="164"/>
    <x v="2"/>
    <x v="0"/>
    <s v="Direct"/>
    <x v="1"/>
    <d v="2024-06-14T00:00:00"/>
    <x v="21"/>
    <x v="0"/>
    <x v="0"/>
    <s v="O+"/>
    <s v="Board Bazar"/>
    <s v="3km-5km"/>
    <x v="0"/>
    <x v="11"/>
  </r>
  <r>
    <s v="ACX202"/>
    <x v="165"/>
    <x v="5"/>
    <x v="0"/>
    <s v="Direct"/>
    <x v="1"/>
    <d v="2024-06-14T00:00:00"/>
    <x v="21"/>
    <x v="1"/>
    <x v="0"/>
    <s v="AB+"/>
    <s v="Vogra Baypass"/>
    <s v="5km-10km"/>
    <x v="0"/>
    <x v="11"/>
  </r>
  <r>
    <s v="ACX203"/>
    <x v="166"/>
    <x v="2"/>
    <x v="0"/>
    <s v="Direct"/>
    <x v="1"/>
    <d v="2024-06-14T00:00:00"/>
    <x v="21"/>
    <x v="1"/>
    <x v="0"/>
    <s v="O+"/>
    <s v="Board Bazar"/>
    <s v="3km-5km"/>
    <x v="0"/>
    <x v="11"/>
  </r>
  <r>
    <s v="ACX204"/>
    <x v="167"/>
    <x v="3"/>
    <x v="0"/>
    <s v="Direct"/>
    <x v="1"/>
    <d v="2024-06-14T00:00:00"/>
    <x v="21"/>
    <x v="1"/>
    <x v="0"/>
    <s v="A+"/>
    <s v="Gazipura 27"/>
    <s v="1km -3km"/>
    <x v="0"/>
    <x v="11"/>
  </r>
  <r>
    <s v="ACX205"/>
    <x v="168"/>
    <x v="3"/>
    <x v="0"/>
    <s v="Direct"/>
    <x v="1"/>
    <d v="2024-06-14T00:00:00"/>
    <x v="21"/>
    <x v="1"/>
    <x v="1"/>
    <s v="A+"/>
    <s v="Gazipura 27"/>
    <s v="1km -3km"/>
    <x v="0"/>
    <x v="11"/>
  </r>
  <r>
    <s v="ACX206"/>
    <x v="169"/>
    <x v="3"/>
    <x v="0"/>
    <s v="Direct"/>
    <x v="1"/>
    <d v="2024-06-14T00:00:00"/>
    <x v="21"/>
    <x v="1"/>
    <x v="0"/>
    <s v="O+"/>
    <s v="Gazipura 27"/>
    <s v="1km -3km"/>
    <x v="0"/>
    <x v="11"/>
  </r>
  <r>
    <s v="ACX207"/>
    <x v="170"/>
    <x v="3"/>
    <x v="0"/>
    <s v="Direct"/>
    <x v="1"/>
    <d v="2024-06-14T00:00:00"/>
    <x v="21"/>
    <x v="0"/>
    <x v="0"/>
    <s v="B+"/>
    <s v="Gazipura 27"/>
    <s v="1km -3km"/>
    <x v="0"/>
    <x v="11"/>
  </r>
  <r>
    <s v="ACX208"/>
    <x v="171"/>
    <x v="3"/>
    <x v="7"/>
    <s v="Direct"/>
    <x v="1"/>
    <d v="2024-06-15T00:00:00"/>
    <x v="22"/>
    <x v="0"/>
    <x v="0"/>
    <s v="B+"/>
    <s v="Gazipura 27"/>
    <s v="1km -3km"/>
    <x v="0"/>
    <x v="11"/>
  </r>
  <r>
    <s v="ACX209"/>
    <x v="172"/>
    <x v="3"/>
    <x v="0"/>
    <s v="Direct"/>
    <x v="1"/>
    <d v="2024-06-15T00:00:00"/>
    <x v="22"/>
    <x v="1"/>
    <x v="0"/>
    <s v="A+"/>
    <s v="Gazipura 27"/>
    <s v="1km -3km"/>
    <x v="0"/>
    <x v="11"/>
  </r>
  <r>
    <s v="ACX210"/>
    <x v="173"/>
    <x v="2"/>
    <x v="0"/>
    <s v="Direct"/>
    <x v="1"/>
    <d v="2024-06-15T00:00:00"/>
    <x v="22"/>
    <x v="1"/>
    <x v="0"/>
    <s v="B+"/>
    <s v="Boro Bari"/>
    <s v="3km-5km"/>
    <x v="0"/>
    <x v="11"/>
  </r>
  <r>
    <s v="ACX211"/>
    <x v="174"/>
    <x v="0"/>
    <x v="0"/>
    <s v="Direct"/>
    <x v="1"/>
    <d v="2024-06-15T00:00:00"/>
    <x v="22"/>
    <x v="1"/>
    <x v="0"/>
    <s v="O+"/>
    <s v="Board Bazar"/>
    <s v="3km-5km"/>
    <x v="0"/>
    <x v="11"/>
  </r>
  <r>
    <s v="ACX212"/>
    <x v="175"/>
    <x v="3"/>
    <x v="0"/>
    <s v="Direct"/>
    <x v="1"/>
    <d v="2024-06-15T00:00:00"/>
    <x v="22"/>
    <x v="1"/>
    <x v="0"/>
    <s v="B+"/>
    <s v="Gazipur Sadar"/>
    <s v="10km-15km"/>
    <x v="0"/>
    <x v="11"/>
  </r>
  <r>
    <s v="ACX213"/>
    <x v="176"/>
    <x v="2"/>
    <x v="0"/>
    <s v="Direct"/>
    <x v="1"/>
    <d v="2024-06-15T00:00:00"/>
    <x v="22"/>
    <x v="1"/>
    <x v="1"/>
    <s v="A+"/>
    <s v="Gazipura 27"/>
    <s v="1km -3km"/>
    <x v="0"/>
    <x v="11"/>
  </r>
  <r>
    <s v="ACX214"/>
    <x v="177"/>
    <x v="0"/>
    <x v="0"/>
    <s v="Direct"/>
    <x v="1"/>
    <d v="2024-06-15T00:00:00"/>
    <x v="22"/>
    <x v="1"/>
    <x v="0"/>
    <s v="A+"/>
    <s v="Gazipura 27"/>
    <s v="1km -3km"/>
    <x v="0"/>
    <x v="11"/>
  </r>
  <r>
    <s v="ACX215"/>
    <x v="178"/>
    <x v="3"/>
    <x v="0"/>
    <s v="Direct"/>
    <x v="1"/>
    <d v="2024-06-15T00:00:00"/>
    <x v="22"/>
    <x v="0"/>
    <x v="0"/>
    <s v="O+"/>
    <s v="Gazipura 27"/>
    <s v="1km -3km"/>
    <x v="0"/>
    <x v="11"/>
  </r>
  <r>
    <s v="ACX216"/>
    <x v="179"/>
    <x v="3"/>
    <x v="0"/>
    <s v="Direct"/>
    <x v="1"/>
    <d v="2024-06-15T00:00:00"/>
    <x v="22"/>
    <x v="0"/>
    <x v="1"/>
    <s v="B+"/>
    <s v="Gazipura 27"/>
    <s v="1km -3km"/>
    <x v="0"/>
    <x v="11"/>
  </r>
  <r>
    <s v="ACX217"/>
    <x v="180"/>
    <x v="2"/>
    <x v="0"/>
    <s v="Direct"/>
    <x v="1"/>
    <d v="2024-06-15T00:00:00"/>
    <x v="22"/>
    <x v="0"/>
    <x v="0"/>
    <s v="O+"/>
    <s v="Gazipura 27"/>
    <s v="1km -3km"/>
    <x v="0"/>
    <x v="11"/>
  </r>
  <r>
    <s v="ACX218"/>
    <x v="181"/>
    <x v="3"/>
    <x v="0"/>
    <s v="Direct"/>
    <x v="1"/>
    <d v="2024-06-15T00:00:00"/>
    <x v="22"/>
    <x v="0"/>
    <x v="0"/>
    <s v="O+"/>
    <s v="Gazipura 27"/>
    <s v="1km -3km"/>
    <x v="0"/>
    <x v="11"/>
  </r>
  <r>
    <s v="ACX219"/>
    <x v="182"/>
    <x v="0"/>
    <x v="0"/>
    <s v="Direct"/>
    <x v="1"/>
    <d v="2024-06-15T00:00:00"/>
    <x v="22"/>
    <x v="0"/>
    <x v="0"/>
    <s v="A+"/>
    <s v="Board Bazar"/>
    <s v="3km-5km"/>
    <x v="0"/>
    <x v="11"/>
  </r>
  <r>
    <s v="ACX220"/>
    <x v="183"/>
    <x v="3"/>
    <x v="0"/>
    <s v="Direct"/>
    <x v="1"/>
    <d v="2024-06-15T00:00:00"/>
    <x v="22"/>
    <x v="0"/>
    <x v="0"/>
    <s v="O+"/>
    <s v="Kolambiya"/>
    <s v="5km-10km"/>
    <x v="0"/>
    <x v="11"/>
  </r>
  <r>
    <s v="ACX221"/>
    <x v="184"/>
    <x v="3"/>
    <x v="0"/>
    <s v="Direct"/>
    <x v="1"/>
    <d v="2024-06-15T00:00:00"/>
    <x v="22"/>
    <x v="1"/>
    <x v="0"/>
    <s v="O+"/>
    <s v="Ershad Nagar"/>
    <s v="1km -3km"/>
    <x v="0"/>
    <x v="11"/>
  </r>
  <r>
    <s v="ACX222"/>
    <x v="185"/>
    <x v="2"/>
    <x v="7"/>
    <s v="Direct"/>
    <x v="1"/>
    <d v="2024-06-15T00:00:00"/>
    <x v="22"/>
    <x v="0"/>
    <x v="0"/>
    <s v="O+"/>
    <s v="Gazipura 27"/>
    <s v="1km -3km"/>
    <x v="0"/>
    <x v="11"/>
  </r>
  <r>
    <s v="ACX223"/>
    <x v="186"/>
    <x v="3"/>
    <x v="0"/>
    <s v="Direct"/>
    <x v="1"/>
    <d v="2024-06-15T00:00:00"/>
    <x v="22"/>
    <x v="0"/>
    <x v="0"/>
    <s v="B+"/>
    <s v="Boro Bari"/>
    <s v="3km-5km"/>
    <x v="0"/>
    <x v="11"/>
  </r>
  <r>
    <s v="ACX224"/>
    <x v="187"/>
    <x v="3"/>
    <x v="0"/>
    <s v="Direct"/>
    <x v="1"/>
    <d v="2024-06-15T00:00:00"/>
    <x v="22"/>
    <x v="1"/>
    <x v="0"/>
    <s v="B+"/>
    <s v="Gacha"/>
    <s v="3km-5km"/>
    <x v="0"/>
    <x v="11"/>
  </r>
  <r>
    <s v="ACX225"/>
    <x v="188"/>
    <x v="0"/>
    <x v="0"/>
    <s v="Direct"/>
    <x v="1"/>
    <d v="2024-06-16T00:00:00"/>
    <x v="23"/>
    <x v="0"/>
    <x v="0"/>
    <s v="B+"/>
    <s v="Gacha"/>
    <s v="3km-5km"/>
    <x v="0"/>
    <x v="11"/>
  </r>
  <r>
    <s v="ACX226"/>
    <x v="189"/>
    <x v="2"/>
    <x v="0"/>
    <s v="Direct"/>
    <x v="1"/>
    <d v="2024-06-16T00:00:00"/>
    <x v="23"/>
    <x v="0"/>
    <x v="0"/>
    <s v="B+"/>
    <s v="Ershad Nagar"/>
    <s v="1km -3km"/>
    <x v="0"/>
    <x v="11"/>
  </r>
  <r>
    <s v="ACX227"/>
    <x v="190"/>
    <x v="3"/>
    <x v="0"/>
    <s v="Direct"/>
    <x v="1"/>
    <d v="2024-06-16T00:00:00"/>
    <x v="23"/>
    <x v="0"/>
    <x v="0"/>
    <s v="N/A"/>
    <s v="Gacha"/>
    <s v="3km-5km"/>
    <x v="0"/>
    <x v="11"/>
  </r>
  <r>
    <s v="ACX228"/>
    <x v="191"/>
    <x v="2"/>
    <x v="0"/>
    <s v="Direct"/>
    <x v="1"/>
    <d v="2024-06-16T00:00:00"/>
    <x v="23"/>
    <x v="0"/>
    <x v="0"/>
    <s v="A+"/>
    <s v="Ershad Nagar"/>
    <s v="1km -3km"/>
    <x v="0"/>
    <x v="11"/>
  </r>
  <r>
    <s v="ACX229"/>
    <x v="192"/>
    <x v="3"/>
    <x v="0"/>
    <s v="Direct"/>
    <x v="1"/>
    <d v="2024-06-17T00:00:00"/>
    <x v="24"/>
    <x v="1"/>
    <x v="0"/>
    <s v="B+"/>
    <s v="Board Bazar"/>
    <s v="3km-5km"/>
    <x v="0"/>
    <x v="11"/>
  </r>
  <r>
    <s v="ACX230"/>
    <x v="193"/>
    <x v="3"/>
    <x v="0"/>
    <s v="Direct"/>
    <x v="1"/>
    <d v="2024-06-17T00:00:00"/>
    <x v="24"/>
    <x v="1"/>
    <x v="0"/>
    <s v="AB+"/>
    <s v="Gazipura 27"/>
    <s v="1km -3km"/>
    <x v="0"/>
    <x v="11"/>
  </r>
  <r>
    <s v="ACX231"/>
    <x v="194"/>
    <x v="3"/>
    <x v="0"/>
    <s v="Direct"/>
    <x v="1"/>
    <d v="2024-06-17T00:00:00"/>
    <x v="24"/>
    <x v="1"/>
    <x v="0"/>
    <s v="B+"/>
    <s v="Gazipura 27"/>
    <s v="1km -3km"/>
    <x v="0"/>
    <x v="11"/>
  </r>
  <r>
    <s v="ACX232"/>
    <x v="195"/>
    <x v="5"/>
    <x v="0"/>
    <s v="Direct"/>
    <x v="1"/>
    <d v="2024-06-17T00:00:00"/>
    <x v="24"/>
    <x v="0"/>
    <x v="0"/>
    <s v="B+"/>
    <s v="Gazipura 27"/>
    <s v="1km -3km"/>
    <x v="0"/>
    <x v="11"/>
  </r>
  <r>
    <s v="ACX233"/>
    <x v="196"/>
    <x v="3"/>
    <x v="0"/>
    <s v="Direct"/>
    <x v="1"/>
    <d v="2024-06-17T00:00:00"/>
    <x v="24"/>
    <x v="0"/>
    <x v="0"/>
    <s v="AB+"/>
    <s v="Gazipur Sadar"/>
    <s v="10km-15km"/>
    <x v="0"/>
    <x v="11"/>
  </r>
  <r>
    <s v="ACX234"/>
    <x v="197"/>
    <x v="3"/>
    <x v="0"/>
    <s v="Direct"/>
    <x v="1"/>
    <d v="2024-06-17T00:00:00"/>
    <x v="24"/>
    <x v="1"/>
    <x v="1"/>
    <s v="A+"/>
    <s v="Gazipura 27"/>
    <s v="1km -3km"/>
    <x v="0"/>
    <x v="11"/>
  </r>
  <r>
    <s v="ACX235"/>
    <x v="198"/>
    <x v="3"/>
    <x v="0"/>
    <s v="Direct"/>
    <x v="1"/>
    <d v="2024-06-17T00:00:00"/>
    <x v="24"/>
    <x v="1"/>
    <x v="0"/>
    <s v="A+"/>
    <s v="Vogra Baypass"/>
    <s v="5km-10km"/>
    <x v="0"/>
    <x v="11"/>
  </r>
  <r>
    <s v="ACX236"/>
    <x v="199"/>
    <x v="3"/>
    <x v="0"/>
    <s v="Direct"/>
    <x v="1"/>
    <d v="2024-06-17T00:00:00"/>
    <x v="24"/>
    <x v="1"/>
    <x v="0"/>
    <s v="A+"/>
    <s v="Ershad Nagar"/>
    <s v="1km -3km"/>
    <x v="0"/>
    <x v="11"/>
  </r>
  <r>
    <s v="ACX237"/>
    <x v="200"/>
    <x v="3"/>
    <x v="0"/>
    <s v="Direct"/>
    <x v="1"/>
    <d v="2024-06-17T00:00:00"/>
    <x v="24"/>
    <x v="1"/>
    <x v="1"/>
    <s v="AB-"/>
    <s v="Boro Bari"/>
    <s v="3km-5km"/>
    <x v="0"/>
    <x v="11"/>
  </r>
  <r>
    <s v="ACX238"/>
    <x v="201"/>
    <x v="3"/>
    <x v="0"/>
    <s v="Direct"/>
    <x v="1"/>
    <d v="2024-06-17T00:00:00"/>
    <x v="24"/>
    <x v="0"/>
    <x v="0"/>
    <s v="AB+"/>
    <s v="Board Bazar"/>
    <s v="3km-5km"/>
    <x v="0"/>
    <x v="11"/>
  </r>
  <r>
    <s v="ACX239"/>
    <x v="202"/>
    <x v="2"/>
    <x v="0"/>
    <s v="Direct"/>
    <x v="1"/>
    <d v="2024-06-17T00:00:00"/>
    <x v="24"/>
    <x v="1"/>
    <x v="1"/>
    <s v="AB+"/>
    <s v="Gazipura 27"/>
    <s v="1km -3km"/>
    <x v="0"/>
    <x v="11"/>
  </r>
  <r>
    <s v="ACX240"/>
    <x v="203"/>
    <x v="3"/>
    <x v="0"/>
    <s v="Direct"/>
    <x v="1"/>
    <d v="2024-06-17T00:00:00"/>
    <x v="24"/>
    <x v="1"/>
    <x v="0"/>
    <s v="AB+"/>
    <s v="Gazipura 27"/>
    <s v="1km -3km"/>
    <x v="0"/>
    <x v="11"/>
  </r>
  <r>
    <s v="ACX241"/>
    <x v="204"/>
    <x v="0"/>
    <x v="0"/>
    <s v="Direct"/>
    <x v="1"/>
    <d v="2024-06-17T00:00:00"/>
    <x v="24"/>
    <x v="1"/>
    <x v="0"/>
    <s v="N/A"/>
    <s v="Ershad Nagar"/>
    <s v="1km -3km"/>
    <x v="0"/>
    <x v="11"/>
  </r>
  <r>
    <s v="ACX242"/>
    <x v="205"/>
    <x v="3"/>
    <x v="0"/>
    <s v="Direct"/>
    <x v="1"/>
    <d v="2024-06-17T00:00:00"/>
    <x v="24"/>
    <x v="0"/>
    <x v="0"/>
    <s v="B+"/>
    <s v="Board Bazar"/>
    <s v="3km-5km"/>
    <x v="0"/>
    <x v="11"/>
  </r>
  <r>
    <s v="ACX243"/>
    <x v="206"/>
    <x v="3"/>
    <x v="0"/>
    <s v="Direct"/>
    <x v="1"/>
    <d v="2024-06-18T00:00:00"/>
    <x v="25"/>
    <x v="0"/>
    <x v="0"/>
    <s v="O+"/>
    <s v="Gazipura 27"/>
    <s v="1km -3km"/>
    <x v="0"/>
    <x v="11"/>
  </r>
  <r>
    <s v="ACX244"/>
    <x v="207"/>
    <x v="2"/>
    <x v="0"/>
    <s v="Direct"/>
    <x v="1"/>
    <d v="2024-06-18T00:00:00"/>
    <x v="25"/>
    <x v="1"/>
    <x v="0"/>
    <s v="AB+"/>
    <s v="Board Bazar"/>
    <s v="3km-5km"/>
    <x v="0"/>
    <x v="11"/>
  </r>
  <r>
    <s v="ACX245"/>
    <x v="208"/>
    <x v="3"/>
    <x v="0"/>
    <s v="Direct"/>
    <x v="1"/>
    <d v="2024-06-18T00:00:00"/>
    <x v="25"/>
    <x v="1"/>
    <x v="0"/>
    <s v="O+"/>
    <s v="Board Bazar"/>
    <s v="3km-5km"/>
    <x v="0"/>
    <x v="11"/>
  </r>
  <r>
    <s v="ACX246"/>
    <x v="209"/>
    <x v="3"/>
    <x v="0"/>
    <s v="Direct"/>
    <x v="1"/>
    <d v="2024-06-18T00:00:00"/>
    <x v="25"/>
    <x v="0"/>
    <x v="0"/>
    <s v="B+"/>
    <s v="Uttara"/>
    <s v="5km-10km"/>
    <x v="0"/>
    <x v="11"/>
  </r>
  <r>
    <s v="ACX247"/>
    <x v="210"/>
    <x v="0"/>
    <x v="0"/>
    <s v="Direct"/>
    <x v="1"/>
    <d v="2024-06-18T00:00:00"/>
    <x v="25"/>
    <x v="1"/>
    <x v="0"/>
    <s v="A+"/>
    <s v="Ershad Nagar"/>
    <s v="1km -3km"/>
    <x v="0"/>
    <x v="11"/>
  </r>
  <r>
    <s v="ACX248"/>
    <x v="211"/>
    <x v="2"/>
    <x v="0"/>
    <s v="Direct"/>
    <x v="1"/>
    <d v="2024-06-18T00:00:00"/>
    <x v="25"/>
    <x v="1"/>
    <x v="0"/>
    <s v="B+"/>
    <s v="Sign board"/>
    <s v="3km-5km"/>
    <x v="0"/>
    <x v="11"/>
  </r>
  <r>
    <s v="ACX249"/>
    <x v="212"/>
    <x v="3"/>
    <x v="0"/>
    <s v="Direct"/>
    <x v="1"/>
    <d v="2024-06-18T00:00:00"/>
    <x v="25"/>
    <x v="0"/>
    <x v="0"/>
    <s v="N/A"/>
    <s v="Board Bazar"/>
    <s v="3km-5km"/>
    <x v="0"/>
    <x v="11"/>
  </r>
  <r>
    <s v="ACX250"/>
    <x v="213"/>
    <x v="3"/>
    <x v="0"/>
    <s v="Direct"/>
    <x v="1"/>
    <d v="2024-06-18T00:00:00"/>
    <x v="25"/>
    <x v="0"/>
    <x v="0"/>
    <s v="B+"/>
    <s v="Board Bazar"/>
    <s v="3km-5km"/>
    <x v="0"/>
    <x v="11"/>
  </r>
  <r>
    <s v="ACX251"/>
    <x v="214"/>
    <x v="3"/>
    <x v="0"/>
    <s v="Direct"/>
    <x v="1"/>
    <d v="2024-06-20T00:00:00"/>
    <x v="26"/>
    <x v="1"/>
    <x v="0"/>
    <s v="A+"/>
    <s v="Sign board"/>
    <s v="3km-5km"/>
    <x v="0"/>
    <x v="11"/>
  </r>
  <r>
    <s v="ACX252"/>
    <x v="215"/>
    <x v="3"/>
    <x v="0"/>
    <s v="Direct"/>
    <x v="1"/>
    <d v="2024-06-20T00:00:00"/>
    <x v="26"/>
    <x v="1"/>
    <x v="1"/>
    <s v="AB+"/>
    <s v="Gazipura 27"/>
    <s v="1km -3km"/>
    <x v="0"/>
    <x v="11"/>
  </r>
  <r>
    <s v="ACX253"/>
    <x v="216"/>
    <x v="2"/>
    <x v="0"/>
    <s v="Direct"/>
    <x v="1"/>
    <d v="2024-06-20T00:00:00"/>
    <x v="26"/>
    <x v="0"/>
    <x v="0"/>
    <s v="A+"/>
    <s v="Gazipura 27"/>
    <s v="1km -3km"/>
    <x v="0"/>
    <x v="11"/>
  </r>
  <r>
    <s v="ACX254"/>
    <x v="217"/>
    <x v="3"/>
    <x v="0"/>
    <s v="Direct"/>
    <x v="1"/>
    <d v="2024-06-20T00:00:00"/>
    <x v="26"/>
    <x v="0"/>
    <x v="1"/>
    <s v="A+"/>
    <s v="Gazipura 27"/>
    <s v="1km -3km"/>
    <x v="0"/>
    <x v="11"/>
  </r>
  <r>
    <s v="ACX255"/>
    <x v="218"/>
    <x v="0"/>
    <x v="0"/>
    <s v="Direct"/>
    <x v="1"/>
    <d v="2024-06-20T00:00:00"/>
    <x v="26"/>
    <x v="0"/>
    <x v="0"/>
    <s v="O+"/>
    <s v="Gazipur Sadar"/>
    <s v="10km-15km"/>
    <x v="0"/>
    <x v="11"/>
  </r>
  <r>
    <s v="ACX256"/>
    <x v="219"/>
    <x v="3"/>
    <x v="7"/>
    <s v="Direct"/>
    <x v="1"/>
    <d v="2024-06-20T00:00:00"/>
    <x v="26"/>
    <x v="0"/>
    <x v="1"/>
    <s v="O+"/>
    <s v="Gazipura 27"/>
    <s v="1km -3km"/>
    <x v="0"/>
    <x v="11"/>
  </r>
  <r>
    <s v="ACX257"/>
    <x v="220"/>
    <x v="5"/>
    <x v="7"/>
    <s v="Direct"/>
    <x v="1"/>
    <d v="2024-06-20T00:00:00"/>
    <x v="26"/>
    <x v="0"/>
    <x v="0"/>
    <s v="O+"/>
    <s v="Gazipura 27"/>
    <s v="1km -3km"/>
    <x v="0"/>
    <x v="11"/>
  </r>
  <r>
    <s v="ACX258"/>
    <x v="221"/>
    <x v="3"/>
    <x v="0"/>
    <s v="Direct"/>
    <x v="1"/>
    <d v="2024-06-20T00:00:00"/>
    <x v="26"/>
    <x v="0"/>
    <x v="0"/>
    <s v="O+"/>
    <s v="Ershad Nagar"/>
    <s v="1km -3km"/>
    <x v="0"/>
    <x v="11"/>
  </r>
  <r>
    <s v="ACX259"/>
    <x v="222"/>
    <x v="3"/>
    <x v="0"/>
    <s v="Direct"/>
    <x v="1"/>
    <d v="2024-06-20T00:00:00"/>
    <x v="26"/>
    <x v="0"/>
    <x v="0"/>
    <s v="B+"/>
    <s v="Gazipura 27"/>
    <s v="1km -3km"/>
    <x v="0"/>
    <x v="11"/>
  </r>
  <r>
    <s v="ACX260"/>
    <x v="223"/>
    <x v="2"/>
    <x v="0"/>
    <s v="Direct"/>
    <x v="1"/>
    <d v="2024-06-20T00:00:00"/>
    <x v="26"/>
    <x v="0"/>
    <x v="0"/>
    <s v="B+"/>
    <s v="Gazipur Chowrasta"/>
    <s v="5km-10km"/>
    <x v="0"/>
    <x v="11"/>
  </r>
  <r>
    <s v="ACX261"/>
    <x v="224"/>
    <x v="2"/>
    <x v="0"/>
    <s v="Direct"/>
    <x v="1"/>
    <d v="2024-06-20T00:00:00"/>
    <x v="26"/>
    <x v="0"/>
    <x v="0"/>
    <s v="AB+"/>
    <s v="Gazipura 27"/>
    <s v="1km -3km"/>
    <x v="0"/>
    <x v="11"/>
  </r>
  <r>
    <s v="ACX262"/>
    <x v="225"/>
    <x v="3"/>
    <x v="0"/>
    <s v="Direct"/>
    <x v="1"/>
    <d v="2024-06-21T00:00:00"/>
    <x v="27"/>
    <x v="1"/>
    <x v="1"/>
    <s v="B+"/>
    <s v="Board Bazar"/>
    <s v="3km-5km"/>
    <x v="0"/>
    <x v="46"/>
  </r>
  <r>
    <s v="ACX263"/>
    <x v="226"/>
    <x v="2"/>
    <x v="0"/>
    <s v="Direct"/>
    <x v="1"/>
    <d v="2024-06-21T00:00:00"/>
    <x v="27"/>
    <x v="0"/>
    <x v="0"/>
    <s v="O+"/>
    <s v="Gacha"/>
    <s v="3km-5km"/>
    <x v="0"/>
    <x v="46"/>
  </r>
  <r>
    <s v="ACX264"/>
    <x v="227"/>
    <x v="5"/>
    <x v="0"/>
    <s v="Direct"/>
    <x v="1"/>
    <d v="2024-06-21T00:00:00"/>
    <x v="27"/>
    <x v="0"/>
    <x v="0"/>
    <s v="B+"/>
    <s v="Gazipura 27"/>
    <s v="1km -3km"/>
    <x v="0"/>
    <x v="46"/>
  </r>
  <r>
    <s v="ACX265"/>
    <x v="228"/>
    <x v="3"/>
    <x v="0"/>
    <s v="Direct"/>
    <x v="1"/>
    <d v="2024-06-21T00:00:00"/>
    <x v="27"/>
    <x v="0"/>
    <x v="0"/>
    <s v="A+"/>
    <s v="Board Bazar"/>
    <s v="3km-5km"/>
    <x v="0"/>
    <x v="46"/>
  </r>
  <r>
    <s v="ACX266"/>
    <x v="229"/>
    <x v="3"/>
    <x v="0"/>
    <s v="Direct"/>
    <x v="1"/>
    <d v="2024-06-21T00:00:00"/>
    <x v="27"/>
    <x v="0"/>
    <x v="1"/>
    <s v="O+"/>
    <s v="Sign board"/>
    <s v="3km-5km"/>
    <x v="0"/>
    <x v="46"/>
  </r>
  <r>
    <s v="ACX267"/>
    <x v="230"/>
    <x v="6"/>
    <x v="0"/>
    <s v="Direct"/>
    <x v="1"/>
    <d v="2024-06-23T00:00:00"/>
    <x v="28"/>
    <x v="0"/>
    <x v="0"/>
    <s v="B+"/>
    <s v="Charagali"/>
    <s v="3km-5km"/>
    <x v="0"/>
    <x v="46"/>
  </r>
  <r>
    <s v="ACX268"/>
    <x v="231"/>
    <x v="0"/>
    <x v="0"/>
    <s v="Direct"/>
    <x v="1"/>
    <d v="2024-06-23T00:00:00"/>
    <x v="28"/>
    <x v="0"/>
    <x v="0"/>
    <s v="O+"/>
    <s v="Gazipura 27"/>
    <s v="1km -3km"/>
    <x v="0"/>
    <x v="46"/>
  </r>
  <r>
    <s v="ACX269"/>
    <x v="232"/>
    <x v="0"/>
    <x v="0"/>
    <s v="Direct"/>
    <x v="1"/>
    <d v="2024-06-23T00:00:00"/>
    <x v="28"/>
    <x v="0"/>
    <x v="0"/>
    <s v="A+"/>
    <s v="Gazipura 27"/>
    <s v="1km -3km"/>
    <x v="0"/>
    <x v="46"/>
  </r>
  <r>
    <s v="ACX270"/>
    <x v="233"/>
    <x v="2"/>
    <x v="6"/>
    <s v="Direct"/>
    <x v="1"/>
    <d v="2024-06-23T00:00:00"/>
    <x v="28"/>
    <x v="0"/>
    <x v="0"/>
    <s v="A+"/>
    <s v="Gazipura 27"/>
    <s v="1km -3km"/>
    <x v="0"/>
    <x v="46"/>
  </r>
  <r>
    <s v="ACX271"/>
    <x v="234"/>
    <x v="3"/>
    <x v="0"/>
    <s v="Direct"/>
    <x v="1"/>
    <d v="2024-06-23T00:00:00"/>
    <x v="28"/>
    <x v="0"/>
    <x v="0"/>
    <s v="B+"/>
    <s v="Gazipura 27"/>
    <s v="1km -3km"/>
    <x v="0"/>
    <x v="46"/>
  </r>
  <r>
    <s v="ACX272"/>
    <x v="65"/>
    <x v="2"/>
    <x v="7"/>
    <s v="Direct"/>
    <x v="1"/>
    <d v="2024-06-23T00:00:00"/>
    <x v="28"/>
    <x v="0"/>
    <x v="0"/>
    <s v="O+"/>
    <s v="Gazipura 27"/>
    <s v="1km -3km"/>
    <x v="0"/>
    <x v="46"/>
  </r>
  <r>
    <s v="ACX273"/>
    <x v="235"/>
    <x v="2"/>
    <x v="0"/>
    <s v="Direct"/>
    <x v="1"/>
    <d v="2024-06-23T00:00:00"/>
    <x v="28"/>
    <x v="1"/>
    <x v="0"/>
    <s v="B+"/>
    <s v="Gazipura 27"/>
    <s v="1km -3km"/>
    <x v="0"/>
    <x v="46"/>
  </r>
  <r>
    <s v="ACX274"/>
    <x v="236"/>
    <x v="0"/>
    <x v="0"/>
    <s v="Direct"/>
    <x v="1"/>
    <d v="2024-06-23T00:00:00"/>
    <x v="28"/>
    <x v="1"/>
    <x v="0"/>
    <s v="B+"/>
    <s v="Gazipura 27"/>
    <s v="1km -3km"/>
    <x v="0"/>
    <x v="46"/>
  </r>
  <r>
    <s v="ACX275"/>
    <x v="237"/>
    <x v="3"/>
    <x v="0"/>
    <s v="Direct"/>
    <x v="1"/>
    <d v="2024-06-23T00:00:00"/>
    <x v="28"/>
    <x v="1"/>
    <x v="0"/>
    <s v="B+"/>
    <s v="Gazipura 27"/>
    <s v="1km -3km"/>
    <x v="0"/>
    <x v="46"/>
  </r>
  <r>
    <s v="ACX276"/>
    <x v="238"/>
    <x v="3"/>
    <x v="0"/>
    <s v="Direct"/>
    <x v="1"/>
    <d v="2024-06-23T00:00:00"/>
    <x v="28"/>
    <x v="1"/>
    <x v="0"/>
    <s v="O+"/>
    <s v="Gazipura 27"/>
    <s v="1km -3km"/>
    <x v="0"/>
    <x v="46"/>
  </r>
  <r>
    <s v="ACX277"/>
    <x v="239"/>
    <x v="2"/>
    <x v="0"/>
    <s v="Direct"/>
    <x v="1"/>
    <d v="2024-06-23T00:00:00"/>
    <x v="28"/>
    <x v="1"/>
    <x v="0"/>
    <s v="A+"/>
    <s v="Gazipura 27"/>
    <s v="1km -3km"/>
    <x v="0"/>
    <x v="46"/>
  </r>
  <r>
    <s v="ACX278"/>
    <x v="240"/>
    <x v="2"/>
    <x v="0"/>
    <s v="Direct"/>
    <x v="1"/>
    <d v="2024-06-23T00:00:00"/>
    <x v="28"/>
    <x v="1"/>
    <x v="0"/>
    <s v="B+"/>
    <s v="Gazipura 27"/>
    <s v="1km -3km"/>
    <x v="0"/>
    <x v="46"/>
  </r>
  <r>
    <s v="ACX279"/>
    <x v="241"/>
    <x v="1"/>
    <x v="0"/>
    <s v="Direct"/>
    <x v="1"/>
    <d v="2024-06-23T00:00:00"/>
    <x v="28"/>
    <x v="1"/>
    <x v="0"/>
    <s v="A-"/>
    <s v="Gazipura 27"/>
    <s v="1km -3km"/>
    <x v="0"/>
    <x v="46"/>
  </r>
  <r>
    <s v="ACX280"/>
    <x v="242"/>
    <x v="2"/>
    <x v="0"/>
    <s v="Direct"/>
    <x v="1"/>
    <d v="2024-06-23T00:00:00"/>
    <x v="28"/>
    <x v="0"/>
    <x v="0"/>
    <s v="O+"/>
    <s v="Gazipura 27"/>
    <s v="1km -3km"/>
    <x v="0"/>
    <x v="46"/>
  </r>
  <r>
    <s v="ACX281"/>
    <x v="243"/>
    <x v="3"/>
    <x v="7"/>
    <s v="Direct"/>
    <x v="1"/>
    <d v="2024-06-23T00:00:00"/>
    <x v="28"/>
    <x v="1"/>
    <x v="0"/>
    <s v="O+"/>
    <s v="Gazipura 27"/>
    <s v="1km -3km"/>
    <x v="0"/>
    <x v="46"/>
  </r>
  <r>
    <s v="ACX282"/>
    <x v="101"/>
    <x v="3"/>
    <x v="0"/>
    <s v="Direct"/>
    <x v="1"/>
    <d v="2024-06-23T00:00:00"/>
    <x v="28"/>
    <x v="0"/>
    <x v="0"/>
    <s v="A+"/>
    <s v="Board Bazar"/>
    <s v="3km-5km"/>
    <x v="0"/>
    <x v="46"/>
  </r>
  <r>
    <s v="ACX283"/>
    <x v="244"/>
    <x v="2"/>
    <x v="0"/>
    <s v="Direct"/>
    <x v="1"/>
    <d v="2024-06-23T00:00:00"/>
    <x v="28"/>
    <x v="0"/>
    <x v="0"/>
    <s v="B+"/>
    <s v="Board Bazar"/>
    <s v="3km-5km"/>
    <x v="0"/>
    <x v="46"/>
  </r>
  <r>
    <s v="ACX284"/>
    <x v="245"/>
    <x v="5"/>
    <x v="0"/>
    <s v="Direct"/>
    <x v="1"/>
    <d v="2024-06-24T00:00:00"/>
    <x v="29"/>
    <x v="0"/>
    <x v="0"/>
    <s v="B-"/>
    <s v="Gazipura 27"/>
    <s v="1km -3km"/>
    <x v="0"/>
    <x v="46"/>
  </r>
  <r>
    <s v="ACX285"/>
    <x v="246"/>
    <x v="0"/>
    <x v="0"/>
    <s v="Direct"/>
    <x v="1"/>
    <d v="2024-06-24T00:00:00"/>
    <x v="29"/>
    <x v="0"/>
    <x v="0"/>
    <s v="N/A"/>
    <s v="Boro Bari"/>
    <s v="3km-5km"/>
    <x v="0"/>
    <x v="46"/>
  </r>
  <r>
    <s v="ACX286"/>
    <x v="247"/>
    <x v="0"/>
    <x v="0"/>
    <s v="Direct"/>
    <x v="1"/>
    <d v="2024-06-24T00:00:00"/>
    <x v="29"/>
    <x v="1"/>
    <x v="0"/>
    <s v="O+"/>
    <s v="Ershad Nagar"/>
    <s v="1km -3km"/>
    <x v="0"/>
    <x v="46"/>
  </r>
  <r>
    <s v="ACX287"/>
    <x v="248"/>
    <x v="2"/>
    <x v="0"/>
    <s v="Direct"/>
    <x v="1"/>
    <d v="2024-06-27T00:00:00"/>
    <x v="30"/>
    <x v="1"/>
    <x v="0"/>
    <s v="A+"/>
    <s v="Boro Bari"/>
    <s v="3km-5km"/>
    <x v="0"/>
    <x v="47"/>
  </r>
  <r>
    <s v="ACX288"/>
    <x v="249"/>
    <x v="0"/>
    <x v="0"/>
    <s v="Direct"/>
    <x v="1"/>
    <d v="2024-06-27T00:00:00"/>
    <x v="30"/>
    <x v="0"/>
    <x v="0"/>
    <s v="AB+"/>
    <s v="Board Bazar"/>
    <s v="3km-5km"/>
    <x v="0"/>
    <x v="47"/>
  </r>
  <r>
    <s v="ACX289"/>
    <x v="250"/>
    <x v="3"/>
    <x v="0"/>
    <s v="Direct"/>
    <x v="1"/>
    <d v="2024-06-27T00:00:00"/>
    <x v="30"/>
    <x v="0"/>
    <x v="0"/>
    <s v="AB+"/>
    <s v="Gazipura 27"/>
    <s v="1km -3km"/>
    <x v="0"/>
    <x v="47"/>
  </r>
  <r>
    <s v="ACX290"/>
    <x v="251"/>
    <x v="2"/>
    <x v="0"/>
    <s v="Direct"/>
    <x v="1"/>
    <d v="2024-06-29T00:00:00"/>
    <x v="31"/>
    <x v="0"/>
    <x v="0"/>
    <s v="N/A"/>
    <s v="Board Bazar"/>
    <s v="3km-5km"/>
    <x v="0"/>
    <x v="47"/>
  </r>
  <r>
    <s v="ACX291"/>
    <x v="252"/>
    <x v="0"/>
    <x v="0"/>
    <s v="Direct"/>
    <x v="1"/>
    <d v="2024-06-29T00:00:00"/>
    <x v="31"/>
    <x v="0"/>
    <x v="0"/>
    <s v="O+"/>
    <s v="Khilkhet"/>
    <s v="10km-15km"/>
    <x v="0"/>
    <x v="47"/>
  </r>
  <r>
    <s v="ACX292"/>
    <x v="253"/>
    <x v="0"/>
    <x v="0"/>
    <s v="Direct"/>
    <x v="1"/>
    <d v="2024-06-29T00:00:00"/>
    <x v="31"/>
    <x v="0"/>
    <x v="0"/>
    <s v="B+"/>
    <s v="Gazipura 27"/>
    <s v="1km -3km"/>
    <x v="0"/>
    <x v="47"/>
  </r>
  <r>
    <s v="ACX293"/>
    <x v="254"/>
    <x v="2"/>
    <x v="0"/>
    <s v="Direct"/>
    <x v="1"/>
    <d v="2024-06-29T00:00:00"/>
    <x v="31"/>
    <x v="0"/>
    <x v="0"/>
    <s v="O+"/>
    <s v="Gazipura 27"/>
    <s v="1km -3km"/>
    <x v="0"/>
    <x v="47"/>
  </r>
  <r>
    <s v="ACX294"/>
    <x v="255"/>
    <x v="2"/>
    <x v="0"/>
    <s v="Direct"/>
    <x v="1"/>
    <d v="2024-06-29T00:00:00"/>
    <x v="31"/>
    <x v="0"/>
    <x v="1"/>
    <s v="AB+"/>
    <s v="Gazipura 27"/>
    <s v="1km -3km"/>
    <x v="0"/>
    <x v="47"/>
  </r>
  <r>
    <s v="ACX295"/>
    <x v="256"/>
    <x v="0"/>
    <x v="0"/>
    <s v="Direct"/>
    <x v="1"/>
    <d v="2024-06-29T00:00:00"/>
    <x v="31"/>
    <x v="0"/>
    <x v="0"/>
    <s v="N/A"/>
    <s v="Gazipura 27"/>
    <s v="1km -3km"/>
    <x v="0"/>
    <x v="47"/>
  </r>
  <r>
    <s v="ACX296"/>
    <x v="65"/>
    <x v="3"/>
    <x v="0"/>
    <s v="Direct"/>
    <x v="1"/>
    <d v="2024-06-29T00:00:00"/>
    <x v="31"/>
    <x v="0"/>
    <x v="0"/>
    <s v="O+"/>
    <s v="Vogra Baypass"/>
    <s v="5km-10km"/>
    <x v="0"/>
    <x v="47"/>
  </r>
  <r>
    <s v="ACX297"/>
    <x v="257"/>
    <x v="2"/>
    <x v="0"/>
    <s v="Direct"/>
    <x v="1"/>
    <d v="2024-06-29T00:00:00"/>
    <x v="31"/>
    <x v="1"/>
    <x v="0"/>
    <s v="B+"/>
    <s v="Gacha"/>
    <s v="3km-5km"/>
    <x v="0"/>
    <x v="47"/>
  </r>
  <r>
    <s v="ACX298"/>
    <x v="258"/>
    <x v="2"/>
    <x v="0"/>
    <s v="Direct"/>
    <x v="1"/>
    <d v="2024-06-29T00:00:00"/>
    <x v="31"/>
    <x v="1"/>
    <x v="1"/>
    <s v="O+"/>
    <s v="Gazipura 27"/>
    <s v="1km -3km"/>
    <x v="0"/>
    <x v="47"/>
  </r>
  <r>
    <s v="ACX299"/>
    <x v="259"/>
    <x v="2"/>
    <x v="0"/>
    <s v="Direct"/>
    <x v="1"/>
    <d v="2024-06-29T00:00:00"/>
    <x v="31"/>
    <x v="0"/>
    <x v="1"/>
    <s v="O+"/>
    <s v="Gazipura 27"/>
    <s v="1km -3km"/>
    <x v="0"/>
    <x v="47"/>
  </r>
  <r>
    <s v="ACX300"/>
    <x v="260"/>
    <x v="3"/>
    <x v="0"/>
    <s v="Direct"/>
    <x v="1"/>
    <d v="2024-06-29T00:00:00"/>
    <x v="31"/>
    <x v="0"/>
    <x v="0"/>
    <s v="A+"/>
    <s v="Gazipura 27"/>
    <s v="1km -3km"/>
    <x v="0"/>
    <x v="47"/>
  </r>
  <r>
    <s v="ACX301"/>
    <x v="261"/>
    <x v="2"/>
    <x v="8"/>
    <s v="Direct"/>
    <x v="1"/>
    <d v="2024-06-29T00:00:00"/>
    <x v="31"/>
    <x v="0"/>
    <x v="0"/>
    <s v="A+"/>
    <s v="Gazipura 27"/>
    <s v="1km -3km"/>
    <x v="0"/>
    <x v="47"/>
  </r>
  <r>
    <s v="ACX302"/>
    <x v="262"/>
    <x v="2"/>
    <x v="8"/>
    <s v="Direct"/>
    <x v="1"/>
    <d v="2024-06-29T00:00:00"/>
    <x v="31"/>
    <x v="0"/>
    <x v="0"/>
    <s v="A+"/>
    <s v="Gazipura 27"/>
    <s v="1km -3km"/>
    <x v="0"/>
    <x v="47"/>
  </r>
  <r>
    <s v="ACX303"/>
    <x v="263"/>
    <x v="3"/>
    <x v="0"/>
    <s v="Direct"/>
    <x v="1"/>
    <d v="2024-06-30T00:00:00"/>
    <x v="32"/>
    <x v="0"/>
    <x v="0"/>
    <s v="B-"/>
    <s v="Boro Bari"/>
    <s v="3km-5km"/>
    <x v="0"/>
    <x v="47"/>
  </r>
  <r>
    <s v="ACX304"/>
    <x v="264"/>
    <x v="3"/>
    <x v="0"/>
    <s v="Direct"/>
    <x v="1"/>
    <d v="2024-06-30T00:00:00"/>
    <x v="32"/>
    <x v="0"/>
    <x v="0"/>
    <s v="B+"/>
    <s v="Board Bazar"/>
    <s v="3km-5km"/>
    <x v="0"/>
    <x v="47"/>
  </r>
  <r>
    <s v="ACX305"/>
    <x v="265"/>
    <x v="2"/>
    <x v="0"/>
    <s v="Direct"/>
    <x v="1"/>
    <d v="2024-06-30T00:00:00"/>
    <x v="32"/>
    <x v="0"/>
    <x v="0"/>
    <s v="O+"/>
    <s v="Gazipura 27"/>
    <s v="1km -3km"/>
    <x v="0"/>
    <x v="47"/>
  </r>
  <r>
    <s v="ACX306"/>
    <x v="266"/>
    <x v="3"/>
    <x v="0"/>
    <s v="Direct"/>
    <x v="1"/>
    <d v="2024-07-01T00:00:00"/>
    <x v="33"/>
    <x v="1"/>
    <x v="0"/>
    <s v="O+"/>
    <s v="Bason"/>
    <s v="5km-10km"/>
    <x v="0"/>
    <x v="47"/>
  </r>
  <r>
    <s v="ACX307"/>
    <x v="267"/>
    <x v="3"/>
    <x v="0"/>
    <s v="Direct"/>
    <x v="1"/>
    <d v="2024-07-01T00:00:00"/>
    <x v="33"/>
    <x v="1"/>
    <x v="0"/>
    <s v="A+"/>
    <s v="Gazipura 27"/>
    <s v="1km -3km"/>
    <x v="0"/>
    <x v="47"/>
  </r>
  <r>
    <s v="ACX308"/>
    <x v="268"/>
    <x v="2"/>
    <x v="0"/>
    <s v="Direct"/>
    <x v="1"/>
    <d v="2024-07-04T00:00:00"/>
    <x v="34"/>
    <x v="0"/>
    <x v="0"/>
    <s v="B+"/>
    <s v="Board Bazar"/>
    <s v="3km-5km"/>
    <x v="0"/>
    <x v="47"/>
  </r>
  <r>
    <s v="ACX309"/>
    <x v="269"/>
    <x v="0"/>
    <x v="0"/>
    <s v="Direct"/>
    <x v="1"/>
    <d v="2024-07-04T00:00:00"/>
    <x v="34"/>
    <x v="0"/>
    <x v="0"/>
    <s v="B+"/>
    <s v="Board Bazar"/>
    <s v="3km-5km"/>
    <x v="0"/>
    <x v="47"/>
  </r>
  <r>
    <s v="ACX310"/>
    <x v="270"/>
    <x v="0"/>
    <x v="0"/>
    <s v="Direct"/>
    <x v="1"/>
    <d v="2024-07-04T00:00:00"/>
    <x v="34"/>
    <x v="1"/>
    <x v="1"/>
    <s v="B+"/>
    <s v="Boro Bari"/>
    <s v="3km-5km"/>
    <x v="0"/>
    <x v="47"/>
  </r>
  <r>
    <s v="ACX311"/>
    <x v="271"/>
    <x v="2"/>
    <x v="0"/>
    <s v="Direct"/>
    <x v="1"/>
    <d v="2024-07-04T00:00:00"/>
    <x v="34"/>
    <x v="1"/>
    <x v="0"/>
    <s v="A+"/>
    <s v="Gazipura 27"/>
    <s v="1km -3km"/>
    <x v="0"/>
    <x v="48"/>
  </r>
  <r>
    <s v="ACX312"/>
    <x v="272"/>
    <x v="2"/>
    <x v="2"/>
    <s v="Indirect"/>
    <x v="1"/>
    <d v="2024-07-02T00:00:00"/>
    <x v="35"/>
    <x v="0"/>
    <x v="0"/>
    <s v="A+"/>
    <s v="Gazipur Sadar"/>
    <s v="10km-15km"/>
    <x v="0"/>
    <x v="48"/>
  </r>
  <r>
    <s v="ACX313"/>
    <x v="273"/>
    <x v="3"/>
    <x v="0"/>
    <s v="Direct"/>
    <x v="1"/>
    <d v="2024-07-04T00:00:00"/>
    <x v="34"/>
    <x v="0"/>
    <x v="0"/>
    <s v="N/A"/>
    <s v="Gazipura 27"/>
    <s v="1km -3km"/>
    <x v="0"/>
    <x v="48"/>
  </r>
  <r>
    <s v="ACX314"/>
    <x v="274"/>
    <x v="3"/>
    <x v="0"/>
    <s v="Direct"/>
    <x v="1"/>
    <d v="2024-07-04T00:00:00"/>
    <x v="34"/>
    <x v="0"/>
    <x v="0"/>
    <s v="B+"/>
    <s v="Ershad Nagar"/>
    <s v="1km -3km"/>
    <x v="0"/>
    <x v="48"/>
  </r>
  <r>
    <s v="ACX315"/>
    <x v="275"/>
    <x v="3"/>
    <x v="0"/>
    <s v="Direct"/>
    <x v="1"/>
    <d v="2024-07-07T00:00:00"/>
    <x v="36"/>
    <x v="0"/>
    <x v="0"/>
    <s v="N/A"/>
    <s v="Hossen Market"/>
    <s v="1km -3km"/>
    <x v="0"/>
    <x v="48"/>
  </r>
  <r>
    <s v="ACX316"/>
    <x v="276"/>
    <x v="2"/>
    <x v="0"/>
    <s v="Direct"/>
    <x v="1"/>
    <d v="2024-07-07T00:00:00"/>
    <x v="36"/>
    <x v="1"/>
    <x v="0"/>
    <s v="N/A"/>
    <s v="Gacha"/>
    <s v="3km-5km"/>
    <x v="0"/>
    <x v="48"/>
  </r>
  <r>
    <s v="ACX317"/>
    <x v="277"/>
    <x v="5"/>
    <x v="0"/>
    <s v="Direct"/>
    <x v="1"/>
    <d v="2024-07-07T00:00:00"/>
    <x v="36"/>
    <x v="1"/>
    <x v="1"/>
    <s v="O+"/>
    <s v="Ershad Nagar"/>
    <s v="1km -3km"/>
    <x v="0"/>
    <x v="48"/>
  </r>
  <r>
    <s v="ACX318"/>
    <x v="278"/>
    <x v="0"/>
    <x v="0"/>
    <s v="Direct"/>
    <x v="1"/>
    <d v="2024-07-07T00:00:00"/>
    <x v="36"/>
    <x v="1"/>
    <x v="0"/>
    <s v="O+"/>
    <s v="Ershad Nagar"/>
    <s v="1km -3km"/>
    <x v="0"/>
    <x v="48"/>
  </r>
  <r>
    <s v="ACX319"/>
    <x v="279"/>
    <x v="3"/>
    <x v="0"/>
    <s v="Direct"/>
    <x v="1"/>
    <d v="2024-07-07T00:00:00"/>
    <x v="36"/>
    <x v="1"/>
    <x v="0"/>
    <s v="N/A"/>
    <s v="Ershad Nagar"/>
    <s v="1km -3km"/>
    <x v="0"/>
    <x v="48"/>
  </r>
  <r>
    <s v="ACX320"/>
    <x v="280"/>
    <x v="0"/>
    <x v="0"/>
    <s v="Direct"/>
    <x v="1"/>
    <d v="2024-07-08T00:00:00"/>
    <x v="37"/>
    <x v="0"/>
    <x v="0"/>
    <s v="B+"/>
    <s v="Gacha"/>
    <s v="3km-5km"/>
    <x v="0"/>
    <x v="48"/>
  </r>
  <r>
    <s v="ACX321"/>
    <x v="281"/>
    <x v="0"/>
    <x v="0"/>
    <s v="Direct"/>
    <x v="1"/>
    <d v="2024-07-08T00:00:00"/>
    <x v="37"/>
    <x v="1"/>
    <x v="0"/>
    <s v="B+"/>
    <s v="Gacha"/>
    <s v="3km-5km"/>
    <x v="0"/>
    <x v="48"/>
  </r>
  <r>
    <s v="ACX322"/>
    <x v="282"/>
    <x v="3"/>
    <x v="0"/>
    <s v="Direct"/>
    <x v="1"/>
    <d v="2024-07-08T00:00:00"/>
    <x v="37"/>
    <x v="1"/>
    <x v="0"/>
    <s v="N/A"/>
    <s v="Azimpur Dhaka"/>
    <s v="20km-30km"/>
    <x v="0"/>
    <x v="48"/>
  </r>
  <r>
    <s v="ACX323"/>
    <x v="111"/>
    <x v="2"/>
    <x v="0"/>
    <s v="Direct"/>
    <x v="1"/>
    <d v="2024-07-08T00:00:00"/>
    <x v="37"/>
    <x v="0"/>
    <x v="0"/>
    <s v="B+"/>
    <s v="Board Bazar"/>
    <s v="3km-5km"/>
    <x v="0"/>
    <x v="48"/>
  </r>
  <r>
    <s v="ACX324"/>
    <x v="8"/>
    <x v="2"/>
    <x v="0"/>
    <s v="Direct"/>
    <x v="1"/>
    <d v="2024-07-08T00:00:00"/>
    <x v="37"/>
    <x v="0"/>
    <x v="0"/>
    <s v="O+"/>
    <s v="Board Bazar"/>
    <s v="3km-5km"/>
    <x v="0"/>
    <x v="48"/>
  </r>
  <r>
    <s v="ACX325"/>
    <x v="283"/>
    <x v="2"/>
    <x v="0"/>
    <s v="Direct"/>
    <x v="1"/>
    <d v="2024-07-08T00:00:00"/>
    <x v="37"/>
    <x v="1"/>
    <x v="0"/>
    <s v="N/A"/>
    <s v="Ershad Nagar"/>
    <s v="1km -3km"/>
    <x v="0"/>
    <x v="48"/>
  </r>
  <r>
    <s v="ACX326"/>
    <x v="284"/>
    <x v="2"/>
    <x v="0"/>
    <s v="Direct"/>
    <x v="1"/>
    <d v="2024-07-08T00:00:00"/>
    <x v="37"/>
    <x v="0"/>
    <x v="0"/>
    <s v="O+"/>
    <s v="Kunia"/>
    <s v="3km-5km"/>
    <x v="0"/>
    <x v="48"/>
  </r>
  <r>
    <s v="ACX327"/>
    <x v="285"/>
    <x v="3"/>
    <x v="0"/>
    <s v="Direct"/>
    <x v="1"/>
    <d v="2024-07-08T00:00:00"/>
    <x v="37"/>
    <x v="0"/>
    <x v="0"/>
    <s v="O+"/>
    <s v="Gazipura 27"/>
    <s v="1km -3km"/>
    <x v="0"/>
    <x v="48"/>
  </r>
  <r>
    <s v="ACX328"/>
    <x v="171"/>
    <x v="3"/>
    <x v="0"/>
    <s v="Direct"/>
    <x v="1"/>
    <d v="2024-07-08T00:00:00"/>
    <x v="37"/>
    <x v="0"/>
    <x v="0"/>
    <s v="B+"/>
    <s v="Gazipura 27"/>
    <s v="1km -3km"/>
    <x v="0"/>
    <x v="48"/>
  </r>
  <r>
    <s v="ACX329"/>
    <x v="286"/>
    <x v="3"/>
    <x v="0"/>
    <s v="Direct"/>
    <x v="1"/>
    <d v="2024-07-08T00:00:00"/>
    <x v="37"/>
    <x v="0"/>
    <x v="0"/>
    <s v="B+"/>
    <s v="Gazipura 27"/>
    <s v="1km -3km"/>
    <x v="0"/>
    <x v="48"/>
  </r>
  <r>
    <s v="ACX330"/>
    <x v="287"/>
    <x v="2"/>
    <x v="0"/>
    <s v="Direct"/>
    <x v="1"/>
    <d v="2024-07-08T00:00:00"/>
    <x v="37"/>
    <x v="1"/>
    <x v="0"/>
    <s v="N/A"/>
    <s v="Gazipura 27"/>
    <s v="1km -3km"/>
    <x v="0"/>
    <x v="48"/>
  </r>
  <r>
    <s v="ACX331"/>
    <x v="22"/>
    <x v="5"/>
    <x v="2"/>
    <s v="Indirect"/>
    <x v="1"/>
    <d v="2024-07-09T00:00:00"/>
    <x v="38"/>
    <x v="0"/>
    <x v="1"/>
    <s v="AB+"/>
    <s v="Gazipura 27"/>
    <s v="1km -3km"/>
    <x v="0"/>
    <x v="48"/>
  </r>
  <r>
    <s v="ACX332"/>
    <x v="288"/>
    <x v="0"/>
    <x v="0"/>
    <s v="Direct"/>
    <x v="1"/>
    <d v="2024-07-09T00:00:00"/>
    <x v="38"/>
    <x v="0"/>
    <x v="0"/>
    <s v="B+"/>
    <s v="Vogra Baypass"/>
    <s v="5km-10km"/>
    <x v="0"/>
    <x v="48"/>
  </r>
  <r>
    <s v="ACX333"/>
    <x v="289"/>
    <x v="3"/>
    <x v="0"/>
    <s v="Direct"/>
    <x v="1"/>
    <d v="2024-07-09T00:00:00"/>
    <x v="38"/>
    <x v="0"/>
    <x v="0"/>
    <s v="B+"/>
    <s v="Gazipura 27"/>
    <s v="1km -3km"/>
    <x v="0"/>
    <x v="48"/>
  </r>
  <r>
    <s v="ACX334"/>
    <x v="290"/>
    <x v="0"/>
    <x v="0"/>
    <s v="Direct"/>
    <x v="1"/>
    <d v="2024-07-09T00:00:00"/>
    <x v="38"/>
    <x v="1"/>
    <x v="1"/>
    <s v="O+"/>
    <s v="Gazipura 27"/>
    <s v="1km -3km"/>
    <x v="0"/>
    <x v="48"/>
  </r>
  <r>
    <s v="ACX335"/>
    <x v="291"/>
    <x v="2"/>
    <x v="0"/>
    <s v="Direct"/>
    <x v="1"/>
    <d v="2024-07-09T00:00:00"/>
    <x v="38"/>
    <x v="1"/>
    <x v="0"/>
    <s v="B+"/>
    <s v="Vogra Baypass"/>
    <s v="5km-10km"/>
    <x v="0"/>
    <x v="48"/>
  </r>
  <r>
    <s v="ACX336"/>
    <x v="292"/>
    <x v="2"/>
    <x v="0"/>
    <s v="Direct"/>
    <x v="1"/>
    <d v="2024-07-09T00:00:00"/>
    <x v="38"/>
    <x v="1"/>
    <x v="0"/>
    <s v="A+"/>
    <s v="Gacha"/>
    <s v="3km-5km"/>
    <x v="0"/>
    <x v="48"/>
  </r>
  <r>
    <s v="ACX337"/>
    <x v="293"/>
    <x v="2"/>
    <x v="0"/>
    <s v="Direct"/>
    <x v="1"/>
    <d v="2024-07-10T00:00:00"/>
    <x v="39"/>
    <x v="1"/>
    <x v="0"/>
    <s v="B+"/>
    <s v="Gazipura 27"/>
    <s v="1km -3km"/>
    <x v="0"/>
    <x v="48"/>
  </r>
  <r>
    <s v="ACX338"/>
    <x v="294"/>
    <x v="2"/>
    <x v="0"/>
    <s v="Direct"/>
    <x v="1"/>
    <d v="2024-07-10T00:00:00"/>
    <x v="39"/>
    <x v="0"/>
    <x v="0"/>
    <s v="A+"/>
    <s v="Gazipura 27"/>
    <s v="1km -3km"/>
    <x v="0"/>
    <x v="48"/>
  </r>
  <r>
    <s v="ACX339"/>
    <x v="295"/>
    <x v="5"/>
    <x v="6"/>
    <s v="Direct"/>
    <x v="1"/>
    <d v="2024-07-10T00:00:00"/>
    <x v="39"/>
    <x v="0"/>
    <x v="0"/>
    <s v="O+"/>
    <s v="Gazipura 27"/>
    <s v="1km -3km"/>
    <x v="0"/>
    <x v="48"/>
  </r>
  <r>
    <s v="ACX340"/>
    <x v="296"/>
    <x v="3"/>
    <x v="0"/>
    <s v="Direct"/>
    <x v="1"/>
    <d v="2024-07-10T00:00:00"/>
    <x v="39"/>
    <x v="0"/>
    <x v="0"/>
    <s v="A+"/>
    <s v="Gazipura 27"/>
    <s v="1km -3km"/>
    <x v="0"/>
    <x v="48"/>
  </r>
  <r>
    <s v="ACX341"/>
    <x v="297"/>
    <x v="0"/>
    <x v="0"/>
    <s v="Direct"/>
    <x v="1"/>
    <d v="2024-07-11T00:00:00"/>
    <x v="40"/>
    <x v="1"/>
    <x v="0"/>
    <s v="B+"/>
    <s v="Gazipura 27"/>
    <s v="1km -3km"/>
    <x v="0"/>
    <x v="48"/>
  </r>
  <r>
    <s v="ACX342"/>
    <x v="298"/>
    <x v="0"/>
    <x v="0"/>
    <s v="Direct"/>
    <x v="1"/>
    <d v="2024-07-11T00:00:00"/>
    <x v="40"/>
    <x v="0"/>
    <x v="0"/>
    <s v="A+"/>
    <s v="Gazipura 27"/>
    <s v="1km -3km"/>
    <x v="0"/>
    <x v="48"/>
  </r>
  <r>
    <s v="ACX343"/>
    <x v="299"/>
    <x v="5"/>
    <x v="0"/>
    <s v="Direct"/>
    <x v="1"/>
    <d v="2024-07-11T00:00:00"/>
    <x v="40"/>
    <x v="0"/>
    <x v="0"/>
    <s v="O+"/>
    <s v="Gazipura 27"/>
    <s v="1km -3km"/>
    <x v="0"/>
    <x v="48"/>
  </r>
  <r>
    <s v="ACX344"/>
    <x v="300"/>
    <x v="3"/>
    <x v="0"/>
    <s v="Direct"/>
    <x v="1"/>
    <d v="2024-07-11T00:00:00"/>
    <x v="40"/>
    <x v="0"/>
    <x v="0"/>
    <s v="B+"/>
    <s v="Gazipura 27"/>
    <s v="1km -3km"/>
    <x v="0"/>
    <x v="48"/>
  </r>
  <r>
    <s v="ACX345"/>
    <x v="301"/>
    <x v="2"/>
    <x v="0"/>
    <s v="Direct"/>
    <x v="1"/>
    <d v="2024-07-11T00:00:00"/>
    <x v="40"/>
    <x v="0"/>
    <x v="0"/>
    <s v="O+"/>
    <s v="Gacha"/>
    <s v="3km-5km"/>
    <x v="0"/>
    <x v="48"/>
  </r>
  <r>
    <s v="ACX346"/>
    <x v="302"/>
    <x v="3"/>
    <x v="0"/>
    <s v="Direct"/>
    <x v="1"/>
    <d v="2024-07-11T00:00:00"/>
    <x v="40"/>
    <x v="0"/>
    <x v="0"/>
    <s v="O+"/>
    <s v="Hossen Market"/>
    <s v="1km -3km"/>
    <x v="0"/>
    <x v="48"/>
  </r>
  <r>
    <s v="ACX347"/>
    <x v="303"/>
    <x v="2"/>
    <x v="0"/>
    <s v="Direct"/>
    <x v="1"/>
    <d v="2024-07-11T00:00:00"/>
    <x v="40"/>
    <x v="0"/>
    <x v="0"/>
    <s v="O+"/>
    <s v="Bason"/>
    <s v="5km-10km"/>
    <x v="0"/>
    <x v="48"/>
  </r>
  <r>
    <s v="ACX348"/>
    <x v="304"/>
    <x v="2"/>
    <x v="0"/>
    <s v="Direct"/>
    <x v="1"/>
    <d v="2024-07-12T00:00:00"/>
    <x v="41"/>
    <x v="0"/>
    <x v="0"/>
    <s v="B+"/>
    <s v="Gazipur Sadar"/>
    <s v="10km-15km"/>
    <x v="0"/>
    <x v="48"/>
  </r>
  <r>
    <s v="ACX349"/>
    <x v="305"/>
    <x v="2"/>
    <x v="0"/>
    <s v="Direct"/>
    <x v="1"/>
    <d v="2024-07-14T00:00:00"/>
    <x v="42"/>
    <x v="1"/>
    <x v="1"/>
    <s v="B+"/>
    <s v="Gazipura 27"/>
    <s v="1km -3km"/>
    <x v="0"/>
    <x v="48"/>
  </r>
  <r>
    <s v="ACX350"/>
    <x v="306"/>
    <x v="2"/>
    <x v="0"/>
    <s v="Direct"/>
    <x v="1"/>
    <d v="2024-07-15T00:00:00"/>
    <x v="43"/>
    <x v="1"/>
    <x v="0"/>
    <s v="AB+"/>
    <s v="Ershad Nagar"/>
    <s v="1km -3km"/>
    <x v="0"/>
    <x v="48"/>
  </r>
  <r>
    <s v="ACX351"/>
    <x v="307"/>
    <x v="5"/>
    <x v="0"/>
    <s v="Direct"/>
    <x v="1"/>
    <d v="2024-07-15T00:00:00"/>
    <x v="43"/>
    <x v="0"/>
    <x v="0"/>
    <s v="B+"/>
    <s v="Gazipura 27"/>
    <s v="1km -3km"/>
    <x v="0"/>
    <x v="48"/>
  </r>
  <r>
    <s v="ACX352"/>
    <x v="308"/>
    <x v="3"/>
    <x v="0"/>
    <s v="Direct"/>
    <x v="1"/>
    <d v="2024-07-15T00:00:00"/>
    <x v="43"/>
    <x v="0"/>
    <x v="0"/>
    <s v="N/A"/>
    <s v="Ershad Nagar"/>
    <s v="1km -3km"/>
    <x v="0"/>
    <x v="48"/>
  </r>
  <r>
    <s v="ACX353"/>
    <x v="309"/>
    <x v="0"/>
    <x v="0"/>
    <s v="Direct"/>
    <x v="1"/>
    <d v="2024-07-15T00:00:00"/>
    <x v="43"/>
    <x v="0"/>
    <x v="0"/>
    <s v="O+"/>
    <s v="Ershad Nagar"/>
    <s v="1km -3km"/>
    <x v="0"/>
    <x v="48"/>
  </r>
  <r>
    <s v="ACX354"/>
    <x v="310"/>
    <x v="0"/>
    <x v="0"/>
    <s v="Direct"/>
    <x v="1"/>
    <d v="2024-07-15T00:00:00"/>
    <x v="43"/>
    <x v="0"/>
    <x v="0"/>
    <s v="A+"/>
    <s v="Board Bazar"/>
    <s v="3km-5km"/>
    <x v="0"/>
    <x v="48"/>
  </r>
  <r>
    <s v="ACX355"/>
    <x v="311"/>
    <x v="5"/>
    <x v="0"/>
    <s v="Direct"/>
    <x v="1"/>
    <d v="2024-07-18T00:00:00"/>
    <x v="44"/>
    <x v="0"/>
    <x v="1"/>
    <s v="O-"/>
    <s v="Gazipura 27"/>
    <s v="1km -3km"/>
    <x v="0"/>
    <x v="48"/>
  </r>
  <r>
    <s v="ACX356"/>
    <x v="312"/>
    <x v="3"/>
    <x v="0"/>
    <s v="Direct"/>
    <x v="1"/>
    <d v="2024-07-19T00:00:00"/>
    <x v="45"/>
    <x v="0"/>
    <x v="0"/>
    <s v="O+"/>
    <s v="Gazipura 27"/>
    <s v="1km -3km"/>
    <x v="0"/>
    <x v="48"/>
  </r>
  <r>
    <s v="ACX357"/>
    <x v="48"/>
    <x v="2"/>
    <x v="0"/>
    <s v="Direct"/>
    <x v="1"/>
    <d v="2024-07-19T00:00:00"/>
    <x v="45"/>
    <x v="0"/>
    <x v="0"/>
    <s v="O+"/>
    <s v="Gazipura 27"/>
    <s v="1km -3km"/>
    <x v="0"/>
    <x v="48"/>
  </r>
  <r>
    <s v="ACX358"/>
    <x v="313"/>
    <x v="3"/>
    <x v="0"/>
    <s v="Direct"/>
    <x v="1"/>
    <d v="2024-07-19T00:00:00"/>
    <x v="45"/>
    <x v="1"/>
    <x v="0"/>
    <s v="O+"/>
    <s v="Ershad Nagar"/>
    <s v="1km -3km"/>
    <x v="0"/>
    <x v="48"/>
  </r>
  <r>
    <s v="ACX359"/>
    <x v="314"/>
    <x v="0"/>
    <x v="0"/>
    <s v="Direct"/>
    <x v="1"/>
    <d v="2024-07-21T00:00:00"/>
    <x v="46"/>
    <x v="1"/>
    <x v="0"/>
    <s v="N/A"/>
    <s v="Ershad Nagar"/>
    <s v="1km -3km"/>
    <x v="0"/>
    <x v="48"/>
  </r>
  <r>
    <s v="ACX360"/>
    <x v="315"/>
    <x v="3"/>
    <x v="0"/>
    <s v="Direct"/>
    <x v="1"/>
    <d v="2024-07-21T00:00:00"/>
    <x v="46"/>
    <x v="0"/>
    <x v="0"/>
    <s v="A+"/>
    <s v="Gazipura 27"/>
    <s v="1km -3km"/>
    <x v="0"/>
    <x v="48"/>
  </r>
  <r>
    <s v="ACX361"/>
    <x v="316"/>
    <x v="5"/>
    <x v="0"/>
    <s v="Direct"/>
    <x v="1"/>
    <d v="2024-07-23T00:00:00"/>
    <x v="47"/>
    <x v="0"/>
    <x v="0"/>
    <s v="B+"/>
    <s v="Gazipura 27"/>
    <s v="1km -3km"/>
    <x v="0"/>
    <x v="48"/>
  </r>
  <r>
    <s v="ACX362"/>
    <x v="317"/>
    <x v="2"/>
    <x v="0"/>
    <s v="Direct"/>
    <x v="1"/>
    <d v="2024-07-23T00:00:00"/>
    <x v="47"/>
    <x v="1"/>
    <x v="0"/>
    <s v="B+"/>
    <s v="Gazipura 27"/>
    <s v="1km -3km"/>
    <x v="0"/>
    <x v="48"/>
  </r>
  <r>
    <s v="ACX363"/>
    <x v="318"/>
    <x v="0"/>
    <x v="0"/>
    <s v="Direct"/>
    <x v="1"/>
    <d v="2024-07-26T00:00:00"/>
    <x v="48"/>
    <x v="1"/>
    <x v="1"/>
    <s v="AB+"/>
    <s v="Gazipura 27"/>
    <s v="1km -3km"/>
    <x v="0"/>
    <x v="48"/>
  </r>
  <r>
    <s v="ACX364"/>
    <x v="319"/>
    <x v="3"/>
    <x v="0"/>
    <s v="Direct"/>
    <x v="1"/>
    <d v="2024-07-30T00:00:00"/>
    <x v="49"/>
    <x v="0"/>
    <x v="0"/>
    <s v="A+"/>
    <s v="Gazipura 27"/>
    <s v="1km -3km"/>
    <x v="0"/>
    <x v="48"/>
  </r>
  <r>
    <s v="ACX365"/>
    <x v="320"/>
    <x v="3"/>
    <x v="0"/>
    <s v="Direct"/>
    <x v="1"/>
    <d v="2024-08-01T00:00:00"/>
    <x v="50"/>
    <x v="0"/>
    <x v="0"/>
    <s v="O+"/>
    <s v="Gazipura 27"/>
    <s v="1km -3km"/>
    <x v="0"/>
    <x v="48"/>
  </r>
  <r>
    <s v="ACX366"/>
    <x v="321"/>
    <x v="0"/>
    <x v="0"/>
    <s v="Direct"/>
    <x v="1"/>
    <d v="2024-08-02T00:00:00"/>
    <x v="51"/>
    <x v="1"/>
    <x v="0"/>
    <s v="A+"/>
    <s v="Ershad Nagar"/>
    <s v="1km -3km"/>
    <x v="0"/>
    <x v="48"/>
  </r>
  <r>
    <s v="ACX367"/>
    <x v="322"/>
    <x v="0"/>
    <x v="0"/>
    <s v="Direct"/>
    <x v="1"/>
    <d v="2024-08-02T00:00:00"/>
    <x v="51"/>
    <x v="1"/>
    <x v="1"/>
    <s v="B+"/>
    <s v="Sign board"/>
    <s v="3km-5km"/>
    <x v="0"/>
    <x v="48"/>
  </r>
  <r>
    <s v="ACX368"/>
    <x v="323"/>
    <x v="0"/>
    <x v="0"/>
    <s v="Direct"/>
    <x v="1"/>
    <d v="2024-08-02T00:00:00"/>
    <x v="51"/>
    <x v="1"/>
    <x v="0"/>
    <s v="B+"/>
    <s v="Ershad Nagar"/>
    <s v="1km -3km"/>
    <x v="0"/>
    <x v="48"/>
  </r>
  <r>
    <s v="ACX369"/>
    <x v="324"/>
    <x v="0"/>
    <x v="0"/>
    <s v="Direct"/>
    <x v="1"/>
    <d v="2024-08-02T00:00:00"/>
    <x v="51"/>
    <x v="0"/>
    <x v="0"/>
    <s v="B+"/>
    <s v="Ershad Nagar"/>
    <s v="1km -3km"/>
    <x v="0"/>
    <x v="48"/>
  </r>
  <r>
    <s v="ACX370"/>
    <x v="325"/>
    <x v="0"/>
    <x v="0"/>
    <s v="Direct"/>
    <x v="1"/>
    <d v="2024-08-02T00:00:00"/>
    <x v="51"/>
    <x v="0"/>
    <x v="0"/>
    <s v="O+"/>
    <s v="Board Bazar"/>
    <s v="3km-5km"/>
    <x v="0"/>
    <x v="48"/>
  </r>
  <r>
    <s v="ACX371"/>
    <x v="326"/>
    <x v="0"/>
    <x v="0"/>
    <s v="Direct"/>
    <x v="1"/>
    <d v="2024-08-02T00:00:00"/>
    <x v="51"/>
    <x v="0"/>
    <x v="0"/>
    <s v="A+"/>
    <s v="Board Bazar"/>
    <s v="3km-5km"/>
    <x v="0"/>
    <x v="48"/>
  </r>
  <r>
    <s v="ACX372"/>
    <x v="327"/>
    <x v="0"/>
    <x v="0"/>
    <s v="Direct"/>
    <x v="1"/>
    <d v="2024-08-02T00:00:00"/>
    <x v="51"/>
    <x v="0"/>
    <x v="0"/>
    <s v="B+"/>
    <s v="Bonmala Road"/>
    <s v="3km-5km"/>
    <x v="0"/>
    <x v="48"/>
  </r>
  <r>
    <s v="ACX373"/>
    <x v="328"/>
    <x v="0"/>
    <x v="0"/>
    <s v="Direct"/>
    <x v="1"/>
    <d v="2024-08-02T00:00:00"/>
    <x v="51"/>
    <x v="1"/>
    <x v="0"/>
    <s v="A+"/>
    <s v="Ershad Nagar"/>
    <s v="1km -3km"/>
    <x v="0"/>
    <x v="48"/>
  </r>
  <r>
    <s v="ACX374"/>
    <x v="329"/>
    <x v="0"/>
    <x v="0"/>
    <s v="Direct"/>
    <x v="1"/>
    <d v="2024-08-02T00:00:00"/>
    <x v="51"/>
    <x v="0"/>
    <x v="0"/>
    <s v="B+"/>
    <s v="Gazipura 27"/>
    <s v="1km -3km"/>
    <x v="0"/>
    <x v="48"/>
  </r>
  <r>
    <s v="ACX375"/>
    <x v="330"/>
    <x v="0"/>
    <x v="0"/>
    <s v="Direct"/>
    <x v="1"/>
    <d v="2024-08-02T00:00:00"/>
    <x v="51"/>
    <x v="0"/>
    <x v="0"/>
    <s v="O+"/>
    <s v="Charagali"/>
    <s v="3km-5km"/>
    <x v="0"/>
    <x v="48"/>
  </r>
  <r>
    <s v="ACX376"/>
    <x v="331"/>
    <x v="2"/>
    <x v="0"/>
    <s v="Direct"/>
    <x v="1"/>
    <d v="2024-08-03T00:00:00"/>
    <x v="52"/>
    <x v="0"/>
    <x v="0"/>
    <s v="O+"/>
    <s v="Hossen Market"/>
    <s v="1km -3km"/>
    <x v="0"/>
    <x v="48"/>
  </r>
  <r>
    <s v="ACX377"/>
    <x v="332"/>
    <x v="5"/>
    <x v="0"/>
    <s v="Direct"/>
    <x v="1"/>
    <d v="2024-08-04T00:00:00"/>
    <x v="53"/>
    <x v="1"/>
    <x v="0"/>
    <s v="N/A"/>
    <s v="Ershad Nagar"/>
    <s v="1km -3km"/>
    <x v="0"/>
    <x v="48"/>
  </r>
  <r>
    <s v="ACX378"/>
    <x v="333"/>
    <x v="2"/>
    <x v="0"/>
    <s v="Direct"/>
    <x v="1"/>
    <d v="2024-08-04T00:00:00"/>
    <x v="53"/>
    <x v="0"/>
    <x v="0"/>
    <s v="AB+"/>
    <s v="Board Bazar"/>
    <s v="3km-5km"/>
    <x v="0"/>
    <x v="48"/>
  </r>
  <r>
    <s v="ACX379"/>
    <x v="334"/>
    <x v="3"/>
    <x v="0"/>
    <s v="Direct"/>
    <x v="1"/>
    <d v="2024-08-04T00:00:00"/>
    <x v="53"/>
    <x v="0"/>
    <x v="0"/>
    <s v="A+"/>
    <s v="Gazipura 27"/>
    <s v="1km -3km"/>
    <x v="0"/>
    <x v="48"/>
  </r>
  <r>
    <s v="ACX380"/>
    <x v="335"/>
    <x v="2"/>
    <x v="0"/>
    <s v="Direct"/>
    <x v="1"/>
    <d v="2024-08-04T00:00:00"/>
    <x v="53"/>
    <x v="0"/>
    <x v="0"/>
    <s v="O+"/>
    <s v="Hossen Market"/>
    <s v="1km -3km"/>
    <x v="0"/>
    <x v="48"/>
  </r>
  <r>
    <s v="ACX381"/>
    <x v="336"/>
    <x v="6"/>
    <x v="0"/>
    <s v="Direct"/>
    <x v="1"/>
    <d v="2024-08-04T00:00:00"/>
    <x v="53"/>
    <x v="0"/>
    <x v="0"/>
    <s v="AB+"/>
    <s v="Ershad Nagar"/>
    <s v="1km -3km"/>
    <x v="0"/>
    <x v="48"/>
  </r>
  <r>
    <s v="ACX382"/>
    <x v="337"/>
    <x v="0"/>
    <x v="0"/>
    <s v="Direct"/>
    <x v="1"/>
    <d v="2024-08-04T00:00:00"/>
    <x v="53"/>
    <x v="0"/>
    <x v="0"/>
    <s v="B-"/>
    <s v="Gazipur Sadar"/>
    <s v="10km-15km"/>
    <x v="0"/>
    <x v="48"/>
  </r>
  <r>
    <s v="ACX383"/>
    <x v="338"/>
    <x v="0"/>
    <x v="0"/>
    <s v="Direct"/>
    <x v="1"/>
    <d v="2024-08-05T00:00:00"/>
    <x v="54"/>
    <x v="1"/>
    <x v="0"/>
    <s v="B+"/>
    <s v="Board Bazar"/>
    <s v="3km-5km"/>
    <x v="0"/>
    <x v="48"/>
  </r>
  <r>
    <s v="ACX384"/>
    <x v="339"/>
    <x v="2"/>
    <x v="0"/>
    <s v="Direct"/>
    <x v="1"/>
    <d v="2024-08-05T00:00:00"/>
    <x v="54"/>
    <x v="0"/>
    <x v="0"/>
    <s v="O-"/>
    <s v="Hossen Market"/>
    <s v="1km -3km"/>
    <x v="0"/>
    <x v="48"/>
  </r>
  <r>
    <s v="ACX385"/>
    <x v="340"/>
    <x v="3"/>
    <x v="0"/>
    <s v="Direct"/>
    <x v="1"/>
    <d v="2024-08-05T00:00:00"/>
    <x v="54"/>
    <x v="0"/>
    <x v="0"/>
    <s v="B+"/>
    <s v="Gazipura 27"/>
    <s v="1km -3km"/>
    <x v="0"/>
    <x v="48"/>
  </r>
  <r>
    <s v="ACX386"/>
    <x v="341"/>
    <x v="2"/>
    <x v="0"/>
    <s v="Direct"/>
    <x v="1"/>
    <d v="2024-08-05T00:00:00"/>
    <x v="54"/>
    <x v="0"/>
    <x v="0"/>
    <s v="B+"/>
    <s v="Gazipura 27"/>
    <s v="1km -3km"/>
    <x v="0"/>
    <x v="48"/>
  </r>
  <r>
    <s v="ACX387"/>
    <x v="342"/>
    <x v="2"/>
    <x v="0"/>
    <s v="Direct"/>
    <x v="1"/>
    <d v="2024-08-05T00:00:00"/>
    <x v="54"/>
    <x v="1"/>
    <x v="0"/>
    <s v="B+"/>
    <s v="Hossen Market"/>
    <s v="1km -3km"/>
    <x v="0"/>
    <x v="48"/>
  </r>
  <r>
    <s v="ACX388"/>
    <x v="343"/>
    <x v="0"/>
    <x v="0"/>
    <s v="Direct"/>
    <x v="1"/>
    <d v="2024-08-05T00:00:00"/>
    <x v="54"/>
    <x v="0"/>
    <x v="0"/>
    <s v="A+"/>
    <s v="Gazipura 27"/>
    <s v="1km -3km"/>
    <x v="0"/>
    <x v="48"/>
  </r>
  <r>
    <s v="ACX389"/>
    <x v="344"/>
    <x v="0"/>
    <x v="0"/>
    <s v="Direct"/>
    <x v="1"/>
    <d v="2024-08-05T00:00:00"/>
    <x v="54"/>
    <x v="0"/>
    <x v="0"/>
    <s v="O+"/>
    <s v="Gazipur Sadar"/>
    <s v="10km-15km"/>
    <x v="0"/>
    <x v="48"/>
  </r>
  <r>
    <s v="ACX390"/>
    <x v="345"/>
    <x v="0"/>
    <x v="0"/>
    <s v="Direct"/>
    <x v="1"/>
    <d v="2024-08-05T00:00:00"/>
    <x v="54"/>
    <x v="0"/>
    <x v="0"/>
    <s v="B+"/>
    <s v="Boro Bari"/>
    <s v="3km-5km"/>
    <x v="0"/>
    <x v="48"/>
  </r>
  <r>
    <s v="ACX391"/>
    <x v="346"/>
    <x v="2"/>
    <x v="0"/>
    <s v="Direct"/>
    <x v="1"/>
    <d v="2024-08-06T00:00:00"/>
    <x v="55"/>
    <x v="1"/>
    <x v="0"/>
    <s v="O+"/>
    <s v="Gazipura 27"/>
    <s v="1km -3km"/>
    <x v="0"/>
    <x v="48"/>
  </r>
  <r>
    <s v="ACX392"/>
    <x v="347"/>
    <x v="5"/>
    <x v="0"/>
    <s v="Direct"/>
    <x v="1"/>
    <d v="2024-08-06T00:00:00"/>
    <x v="55"/>
    <x v="0"/>
    <x v="1"/>
    <s v="A+"/>
    <s v="Gazipura 27"/>
    <s v="1km -3km"/>
    <x v="0"/>
    <x v="48"/>
  </r>
  <r>
    <s v="ACX393"/>
    <x v="348"/>
    <x v="2"/>
    <x v="0"/>
    <s v="Direct"/>
    <x v="1"/>
    <d v="2024-08-06T00:00:00"/>
    <x v="55"/>
    <x v="1"/>
    <x v="0"/>
    <s v="O+"/>
    <s v="Gazipura 27"/>
    <s v="1km -3km"/>
    <x v="0"/>
    <x v="48"/>
  </r>
  <r>
    <s v="ACX394"/>
    <x v="349"/>
    <x v="3"/>
    <x v="0"/>
    <s v="Direct"/>
    <x v="1"/>
    <d v="2024-08-08T00:00:00"/>
    <x v="56"/>
    <x v="1"/>
    <x v="0"/>
    <s v="B+"/>
    <s v="Gacha"/>
    <s v="3km-5km"/>
    <x v="0"/>
    <x v="48"/>
  </r>
  <r>
    <s v="ACX395"/>
    <x v="350"/>
    <x v="2"/>
    <x v="0"/>
    <s v="Direct"/>
    <x v="1"/>
    <d v="2024-08-08T00:00:00"/>
    <x v="56"/>
    <x v="0"/>
    <x v="0"/>
    <s v="A+"/>
    <s v="Board Bazar"/>
    <s v="3km-5km"/>
    <x v="0"/>
    <x v="48"/>
  </r>
  <r>
    <s v="ACX396"/>
    <x v="351"/>
    <x v="6"/>
    <x v="4"/>
    <s v="Indirect"/>
    <x v="1"/>
    <d v="2024-08-09T00:00:00"/>
    <x v="57"/>
    <x v="0"/>
    <x v="1"/>
    <s v="O+"/>
    <s v="Bashundhara"/>
    <s v="10km-15km"/>
    <x v="0"/>
    <x v="48"/>
  </r>
  <r>
    <s v="ACX397"/>
    <x v="352"/>
    <x v="0"/>
    <x v="0"/>
    <s v="Direct"/>
    <x v="1"/>
    <d v="2024-08-10T00:00:00"/>
    <x v="58"/>
    <x v="0"/>
    <x v="0"/>
    <s v="AB+"/>
    <s v="Boro Bari"/>
    <s v="3km-5km"/>
    <x v="0"/>
    <x v="48"/>
  </r>
  <r>
    <s v="ACX398"/>
    <x v="353"/>
    <x v="0"/>
    <x v="0"/>
    <s v="Direct"/>
    <x v="1"/>
    <d v="2024-08-11T00:00:00"/>
    <x v="59"/>
    <x v="1"/>
    <x v="0"/>
    <s v="AB-"/>
    <s v="Board Bazar"/>
    <s v="3km-5km"/>
    <x v="0"/>
    <x v="48"/>
  </r>
  <r>
    <s v="ACX399"/>
    <x v="223"/>
    <x v="2"/>
    <x v="0"/>
    <s v="Direct"/>
    <x v="1"/>
    <d v="2024-08-13T00:00:00"/>
    <x v="60"/>
    <x v="0"/>
    <x v="0"/>
    <s v="O+"/>
    <s v="Gacha"/>
    <s v="3km-5km"/>
    <x v="0"/>
    <x v="48"/>
  </r>
  <r>
    <s v="ACX400"/>
    <x v="354"/>
    <x v="3"/>
    <x v="0"/>
    <s v="Direct"/>
    <x v="1"/>
    <d v="2024-08-13T00:00:00"/>
    <x v="60"/>
    <x v="1"/>
    <x v="0"/>
    <s v="O+"/>
    <s v="Gazipura 27"/>
    <s v="1km -3km"/>
    <x v="0"/>
    <x v="48"/>
  </r>
  <r>
    <s v="ACX401"/>
    <x v="355"/>
    <x v="2"/>
    <x v="0"/>
    <s v="Direct"/>
    <x v="1"/>
    <d v="2024-08-13T00:00:00"/>
    <x v="60"/>
    <x v="1"/>
    <x v="0"/>
    <s v="A+"/>
    <s v="Gazipur Sadar"/>
    <s v="10km-15km"/>
    <x v="0"/>
    <x v="48"/>
  </r>
  <r>
    <s v="ACX402"/>
    <x v="356"/>
    <x v="2"/>
    <x v="0"/>
    <s v="Direct"/>
    <x v="1"/>
    <d v="2024-08-13T00:00:00"/>
    <x v="60"/>
    <x v="1"/>
    <x v="0"/>
    <s v="B+"/>
    <s v="Gazipura 27"/>
    <s v="1km -3km"/>
    <x v="0"/>
    <x v="47"/>
  </r>
  <r>
    <s v="ACX403"/>
    <x v="357"/>
    <x v="0"/>
    <x v="0"/>
    <s v="Direct"/>
    <x v="1"/>
    <d v="2024-08-13T00:00:00"/>
    <x v="60"/>
    <x v="1"/>
    <x v="0"/>
    <s v="A+"/>
    <s v="Gacha"/>
    <s v="3km-5km"/>
    <x v="0"/>
    <x v="47"/>
  </r>
  <r>
    <s v="ACX404"/>
    <x v="358"/>
    <x v="3"/>
    <x v="0"/>
    <s v="Direct"/>
    <x v="1"/>
    <d v="2024-08-13T00:00:00"/>
    <x v="60"/>
    <x v="1"/>
    <x v="0"/>
    <s v="B+"/>
    <s v="Gazipura 27"/>
    <s v="1km -3km"/>
    <x v="0"/>
    <x v="47"/>
  </r>
  <r>
    <s v="ACX405"/>
    <x v="359"/>
    <x v="3"/>
    <x v="0"/>
    <s v="Direct"/>
    <x v="1"/>
    <d v="2024-08-13T00:00:00"/>
    <x v="60"/>
    <x v="0"/>
    <x v="0"/>
    <s v="B+"/>
    <s v="Gazipura 27"/>
    <s v="1km -3km"/>
    <x v="0"/>
    <x v="47"/>
  </r>
  <r>
    <s v="ACX406"/>
    <x v="360"/>
    <x v="2"/>
    <x v="0"/>
    <s v="Direct"/>
    <x v="1"/>
    <d v="2024-08-15T00:00:00"/>
    <x v="61"/>
    <x v="0"/>
    <x v="0"/>
    <s v="A+"/>
    <s v="Gazipura 27"/>
    <s v="1km -3km"/>
    <x v="0"/>
    <x v="47"/>
  </r>
  <r>
    <s v="ACX407"/>
    <x v="361"/>
    <x v="2"/>
    <x v="0"/>
    <s v="Direct"/>
    <x v="1"/>
    <d v="2024-08-31T00:00:00"/>
    <x v="62"/>
    <x v="0"/>
    <x v="0"/>
    <s v="O+"/>
    <s v="Gazipura 27"/>
    <s v="1km -3km"/>
    <x v="0"/>
    <x v="47"/>
  </r>
  <r>
    <s v="ACX408"/>
    <x v="362"/>
    <x v="1"/>
    <x v="9"/>
    <s v="Management"/>
    <x v="1"/>
    <d v="2024-10-14T00:00:00"/>
    <x v="63"/>
    <x v="0"/>
    <x v="0"/>
    <s v="B+"/>
    <s v="Tongi Bazar"/>
    <s v="5km-10km"/>
    <x v="0"/>
    <x v="47"/>
  </r>
  <r>
    <s v="ACX409"/>
    <x v="363"/>
    <x v="3"/>
    <x v="3"/>
    <s v="Indirect"/>
    <x v="1"/>
    <d v="2024-10-29T00:00:00"/>
    <x v="64"/>
    <x v="0"/>
    <x v="1"/>
    <s v="O+"/>
    <s v="Kaliakoir"/>
    <s v="20km-30km"/>
    <x v="0"/>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A05B5-FAB5-4515-B736-5324E811FF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12" firstHeaderRow="1" firstDataRow="1" firstDataCol="1"/>
  <pivotFields count="18">
    <pivotField showAll="0"/>
    <pivotField dataField="1" showAll="0">
      <items count="365">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t="default"/>
      </items>
    </pivotField>
    <pivotField showAll="0"/>
    <pivotField showAll="0"/>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axis="axisRow"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Total Employ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C3BB3-E92B-4937-B84B-62020664C5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2" firstHeaderRow="1" firstDataRow="1" firstDataCol="1"/>
  <pivotFields count="18">
    <pivotField showAll="0"/>
    <pivotField dataField="1" showAll="0">
      <items count="365">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t="default"/>
      </items>
    </pivotField>
    <pivotField axis="axisRow" showAll="0">
      <items count="8">
        <item x="1"/>
        <item x="6"/>
        <item x="4"/>
        <item x="0"/>
        <item x="5"/>
        <item x="2"/>
        <item x="3"/>
        <item t="default"/>
      </items>
    </pivotField>
    <pivotField showAll="0"/>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Total Employ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C87213-BC87-484D-B0C3-8F2D985F12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dataField="1" showAll="0">
      <items count="365">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t="default"/>
      </items>
    </pivotField>
    <pivotField showAll="0"/>
    <pivotField showAll="0"/>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Employ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9BB6F-060E-4CFD-8631-315ED59720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showAll="0"/>
    <pivotField showAll="0"/>
    <pivotField showAll="0">
      <items count="8">
        <item x="1"/>
        <item x="6"/>
        <item x="4"/>
        <item x="0"/>
        <item x="5"/>
        <item x="2"/>
        <item x="3"/>
        <item t="default"/>
      </items>
    </pivotField>
    <pivotField showAll="0"/>
    <pivotField showAll="0"/>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Salary" fld="14" subtotal="average" baseField="0" baseItem="0" numFmtId="166"/>
  </dataFields>
  <formats count="1">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7827D4-CCE5-4D84-89CC-598C0608CB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showAll="0">
      <items count="8">
        <item x="1"/>
        <item x="6"/>
        <item x="4"/>
        <item x="0"/>
        <item x="5"/>
        <item x="2"/>
        <item x="3"/>
        <item t="default"/>
      </items>
    </pivotField>
    <pivotField showAll="0"/>
    <pivotField showAll="0"/>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D4EAA-A79A-4B5D-B8D1-5C1082AB93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M3:N15"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2">
    <i>
      <x v="1"/>
    </i>
    <i>
      <x v="2"/>
    </i>
    <i>
      <x v="3"/>
    </i>
    <i>
      <x v="4"/>
    </i>
    <i>
      <x v="5"/>
    </i>
    <i>
      <x v="6"/>
    </i>
    <i>
      <x v="7"/>
    </i>
    <i>
      <x v="8"/>
    </i>
    <i>
      <x v="9"/>
    </i>
    <i>
      <x v="11"/>
    </i>
    <i>
      <x v="12"/>
    </i>
    <i t="grand">
      <x/>
    </i>
  </rowItems>
  <colItems count="1">
    <i/>
  </colItems>
  <dataFields count="1">
    <dataField name="Number of Joined Employees" fld="0" subtotal="count" baseField="15" baseItem="1"/>
  </dataFields>
  <formats count="4">
    <format dxfId="164">
      <pivotArea dataOnly="0" outline="0" axis="axisValues" fieldPosition="0"/>
    </format>
    <format dxfId="163">
      <pivotArea collapsedLevelsAreSubtotals="1" fieldPosition="0">
        <references count="1">
          <reference field="15" count="11">
            <x v="1"/>
            <x v="2"/>
            <x v="3"/>
            <x v="4"/>
            <x v="5"/>
            <x v="6"/>
            <x v="7"/>
            <x v="8"/>
            <x v="9"/>
            <x v="11"/>
            <x v="12"/>
          </reference>
        </references>
      </pivotArea>
    </format>
    <format dxfId="162">
      <pivotArea outline="0" collapsedLevelsAreSubtotals="1" fieldPosition="0"/>
    </format>
    <format dxfId="16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5F544-AC66-4554-ABBB-10B138D9BB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J3:K11" firstHeaderRow="1" firstDataRow="1" firstDataCol="1"/>
  <pivotFields count="18">
    <pivotField dataField="1" showAll="0"/>
    <pivotField showAll="0"/>
    <pivotField axis="axisRow" showAll="0" sortType="ascending">
      <items count="8">
        <item x="3"/>
        <item x="2"/>
        <item x="5"/>
        <item x="0"/>
        <item x="4"/>
        <item x="6"/>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4"/>
    </i>
    <i>
      <x v="6"/>
    </i>
    <i>
      <x v="5"/>
    </i>
    <i>
      <x v="2"/>
    </i>
    <i>
      <x v="3"/>
    </i>
    <i>
      <x/>
    </i>
    <i>
      <x v="1"/>
    </i>
    <i t="grand">
      <x/>
    </i>
  </rowItems>
  <colItems count="1">
    <i/>
  </colItems>
  <dataFields count="1">
    <dataField name="Total Employees"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022FD-BBC3-4A32-96F3-E9CF2749AD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signation">
  <location ref="P3:Q14" firstHeaderRow="1" firstDataRow="1" firstDataCol="1"/>
  <pivotFields count="18">
    <pivotField showAll="0"/>
    <pivotField showAll="0"/>
    <pivotField showAll="0">
      <items count="8">
        <item x="1"/>
        <item x="6"/>
        <item x="4"/>
        <item x="0"/>
        <item x="5"/>
        <item x="2"/>
        <item x="3"/>
        <item t="default"/>
      </items>
    </pivotField>
    <pivotField axis="axisRow" showAll="0">
      <items count="11">
        <item x="6"/>
        <item x="5"/>
        <item x="8"/>
        <item x="2"/>
        <item x="7"/>
        <item x="0"/>
        <item x="1"/>
        <item x="3"/>
        <item x="4"/>
        <item x="9"/>
        <item t="default"/>
      </items>
    </pivotField>
    <pivotField showAll="0"/>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Average of Salary" fld="14" subtotal="average" baseField="3" baseItem="5" numFmtId="166"/>
  </dataFields>
  <formats count="4">
    <format dxfId="168">
      <pivotArea dataOnly="0" outline="0" axis="axisValues" fieldPosition="0"/>
    </format>
    <format dxfId="167">
      <pivotArea outline="0" collapsedLevelsAreSubtotals="1" fieldPosition="0"/>
    </format>
    <format dxfId="166">
      <pivotArea dataOnly="0" labelOnly="1" outline="0" axis="axisValues" fieldPosition="0"/>
    </format>
    <format dxfId="165">
      <pivotArea collapsedLevelsAreSubtotals="1" fieldPosition="0">
        <references count="1">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33C5FC-B665-44C1-985D-EDDC09DC1D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showAll="0"/>
    <pivotField showAll="0">
      <items count="8">
        <item x="1"/>
        <item x="6"/>
        <item x="4"/>
        <item x="0"/>
        <item x="5"/>
        <item x="2"/>
        <item x="3"/>
        <item t="default"/>
      </items>
    </pivotField>
    <pivotField showAll="0"/>
    <pivotField showAll="0"/>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h="1" x="2"/>
        <item h="1"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Basic Salary" fld="14" baseField="0" baseItem="0" numFmtId="166"/>
  </dataFields>
  <formats count="1">
    <format dxfId="1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D03D5C-6B60-46AF-9108-5E29808B1F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colHeaderCaption="Employee Type">
  <location ref="S3:T10" firstHeaderRow="1" firstDataRow="1" firstDataCol="1"/>
  <pivotFields count="18">
    <pivotField dataField="1" showAll="0"/>
    <pivotField showAll="0"/>
    <pivotField showAll="0">
      <items count="8">
        <item x="1"/>
        <item x="6"/>
        <item x="4"/>
        <item x="0"/>
        <item x="5"/>
        <item x="2"/>
        <item x="3"/>
        <item t="default"/>
      </items>
    </pivotField>
    <pivotField showAll="0"/>
    <pivotField showAll="0"/>
    <pivotField axis="axisRow"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pivotField showAll="0"/>
    <pivotField showAll="0"/>
    <pivotField showAll="0"/>
    <pivotField showAll="0">
      <items count="4">
        <item x="0"/>
        <item h="1" x="2"/>
        <item h="1"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8"/>
    <field x="5"/>
  </rowFields>
  <rowItems count="7">
    <i>
      <x/>
    </i>
    <i r="1">
      <x/>
    </i>
    <i r="1">
      <x v="1"/>
    </i>
    <i>
      <x v="1"/>
    </i>
    <i r="1">
      <x/>
    </i>
    <i r="1">
      <x v="1"/>
    </i>
    <i t="grand">
      <x/>
    </i>
  </rowItems>
  <colItems count="1">
    <i/>
  </colItems>
  <dataFields count="1">
    <dataField name="Count of ID" fld="0" subtotal="count" baseField="0" baseItem="0"/>
  </dataFields>
  <formats count="1">
    <format dxfId="170">
      <pivotArea field="5" type="button" dataOnly="0" labelOnly="1" outline="0" axis="axisRow" fieldPosition="1"/>
    </format>
  </formats>
  <chartFormats count="6">
    <chartFormat chart="0" format="2"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3">
          <reference field="4294967294" count="1" selected="0">
            <x v="0"/>
          </reference>
          <reference field="5" count="1" selected="0">
            <x v="0"/>
          </reference>
          <reference field="8" count="1" selected="0">
            <x v="0"/>
          </reference>
        </references>
      </pivotArea>
    </chartFormat>
    <chartFormat chart="6" format="12">
      <pivotArea type="data" outline="0" fieldPosition="0">
        <references count="3">
          <reference field="4294967294" count="1" selected="0">
            <x v="0"/>
          </reference>
          <reference field="5" count="1" selected="0">
            <x v="1"/>
          </reference>
          <reference field="8" count="1" selected="0">
            <x v="0"/>
          </reference>
        </references>
      </pivotArea>
    </chartFormat>
    <chartFormat chart="6" format="13">
      <pivotArea type="data" outline="0" fieldPosition="0">
        <references count="3">
          <reference field="4294967294" count="1" selected="0">
            <x v="0"/>
          </reference>
          <reference field="5" count="1" selected="0">
            <x v="0"/>
          </reference>
          <reference field="8" count="1" selected="0">
            <x v="1"/>
          </reference>
        </references>
      </pivotArea>
    </chartFormat>
    <chartFormat chart="6" format="14">
      <pivotArea type="data" outline="0" fieldPosition="0">
        <references count="3">
          <reference field="4294967294" count="1" selected="0">
            <x v="0"/>
          </reference>
          <reference field="5"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F94918-46D4-41CA-A6CB-F7C98FDE0A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rowPageCount="1" colPageCount="1"/>
  <pivotFields count="18">
    <pivotField dataField="1" showAll="0"/>
    <pivotField showAll="0"/>
    <pivotField showAll="0">
      <items count="8">
        <item x="1"/>
        <item x="6"/>
        <item x="4"/>
        <item x="0"/>
        <item x="5"/>
        <item x="2"/>
        <item x="3"/>
        <item t="default"/>
      </items>
    </pivotField>
    <pivotField showAll="0"/>
    <pivotField showAll="0"/>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axis="axisPage" multipleItemSelectionAllowed="1" showAll="0">
      <items count="4">
        <item x="0"/>
        <item h="1" x="2"/>
        <item h="1"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13" hier="-1"/>
  </pageFields>
  <dataFields count="1">
    <dataField name="Active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D7EF60A-6175-4259-9EA7-EBBB53CD122B}" sourceName="Department">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61789467">
      <items count="7">
        <i x="1" s="1"/>
        <i x="6" s="1"/>
        <i x="4" s="1"/>
        <i x="0"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64F55C4D-4F99-4F21-A8ED-7759A4BE0FA1}" sourceName="Employee Typ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617894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F735C9-ADC1-4B40-B4D4-47CA8F785126}" sourceName="Gender">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6178946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48E3C50A-739E-4B4E-A933-780D00066595}" sourceName="Working status">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6178946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2333C78-C558-4E28-85FB-5327C5E782E6}" cache="Slicer_Department" caption="Department" showCaption="0" rowHeight="374904"/>
  <slicer name="Employee Type" xr10:uid="{73777FC5-6D97-49DB-8256-972D6E41DBEE}" cache="Slicer_Employee_Type" caption="Employee Type" showCaption="0" rowHeight="365760"/>
  <slicer name="Gender" xr10:uid="{97516010-A418-4015-AA5A-77AA18C96C53}" cache="Slicer_Gender" caption="Gender" showCaption="0" rowHeight="1344168"/>
  <slicer name="Working status" xr10:uid="{740A248D-0799-4C3A-87C8-F8BB3FBE0A1F}" cache="Slicer_Working_status" caption="Working status" showCaption="0"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1BFE2-11AB-419F-817D-0EED58731D71}" name="Table1" displayName="Table1" ref="A1:O410" totalsRowShown="0" headerRowDxfId="159" dataDxfId="158">
  <autoFilter ref="A1:O410" xr:uid="{F301BFE2-11AB-419F-817D-0EED58731D71}">
    <filterColumn colId="13">
      <filters>
        <filter val="Active"/>
      </filters>
    </filterColumn>
  </autoFilter>
  <tableColumns count="15">
    <tableColumn id="1" xr3:uid="{B9E743D1-CA6C-4CE3-B89C-68668F71CE4D}" name="ID" dataDxfId="157"/>
    <tableColumn id="2" xr3:uid="{32FDCF9B-36DF-44DA-B44B-8AC2AB38682A}" name="Name" dataDxfId="156"/>
    <tableColumn id="3" xr3:uid="{15E8095B-165B-452C-969B-762C8C7E691A}" name="Department" dataDxfId="155"/>
    <tableColumn id="4" xr3:uid="{E9E95B7D-1FD7-406B-BF56-5A3FF93AA9F7}" name="Designation" dataDxfId="154"/>
    <tableColumn id="5" xr3:uid="{B9CC7318-7882-4771-8C29-FE14751B0611}" name="Employee Category" dataDxfId="153"/>
    <tableColumn id="6" xr3:uid="{78FE3916-49A3-41FD-B8EA-1A3173DB1931}" name="Employee Type" dataDxfId="152"/>
    <tableColumn id="7" xr3:uid="{D0877FE1-4B2C-47D3-88D0-3AD040529BB0}" name="Date of confirmation" dataDxfId="151"/>
    <tableColumn id="8" xr3:uid="{617EE741-636E-4FAF-88CC-F8E0DFE34AF7}" name="Date of Join" dataDxfId="150"/>
    <tableColumn id="9" xr3:uid="{5A4AEB79-D2A6-4B8D-90A7-069F9E9F6226}" name="Gender" dataDxfId="149"/>
    <tableColumn id="10" xr3:uid="{076D2466-34A7-4BD2-BE17-D4929EB07732}" name="Marital Status" dataDxfId="148"/>
    <tableColumn id="11" xr3:uid="{F129C004-13E1-4E05-BFF2-1EF3E839CAB6}" name="Blood Group" dataDxfId="147"/>
    <tableColumn id="12" xr3:uid="{0E9CD14C-2B9B-4DBF-8BD1-62F0945513CB}" name="Present Address" dataDxfId="146"/>
    <tableColumn id="13" xr3:uid="{C825F419-785A-48EC-AD7D-CC3218E7AFCC}" name="Distance" dataDxfId="145"/>
    <tableColumn id="14" xr3:uid="{13E71FFC-2FD5-4B68-A2B6-5BE6B1A02713}" name="Working status" dataDxfId="144"/>
    <tableColumn id="15" xr3:uid="{21B4145A-DF43-46E7-9484-E2A779B8B230}" name="Salary" dataDxfId="14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339D-C061-4BB7-BC29-3E977C8206D0}">
  <dimension ref="A3:F12"/>
  <sheetViews>
    <sheetView workbookViewId="0">
      <selection activeCell="E20" sqref="E20"/>
    </sheetView>
  </sheetViews>
  <sheetFormatPr defaultColWidth="19" defaultRowHeight="14.4" x14ac:dyDescent="0.3"/>
  <cols>
    <col min="1" max="1" width="12.09765625" bestFit="1" customWidth="1"/>
    <col min="2" max="2" width="10.8984375" bestFit="1" customWidth="1"/>
    <col min="3" max="3" width="12.09765625" bestFit="1" customWidth="1"/>
    <col min="5" max="5" width="20.296875" bestFit="1" customWidth="1"/>
    <col min="6" max="6" width="12.09765625" bestFit="1" customWidth="1"/>
  </cols>
  <sheetData>
    <row r="3" spans="1:6" x14ac:dyDescent="0.3">
      <c r="A3" t="s">
        <v>858</v>
      </c>
    </row>
    <row r="4" spans="1:6" x14ac:dyDescent="0.3">
      <c r="A4" s="5">
        <v>409</v>
      </c>
      <c r="E4" s="6" t="s">
        <v>859</v>
      </c>
      <c r="F4" t="s">
        <v>858</v>
      </c>
    </row>
    <row r="5" spans="1:6" x14ac:dyDescent="0.3">
      <c r="E5" s="7" t="s">
        <v>28</v>
      </c>
      <c r="F5" s="5">
        <v>4</v>
      </c>
    </row>
    <row r="6" spans="1:6" x14ac:dyDescent="0.3">
      <c r="E6" s="7" t="s">
        <v>570</v>
      </c>
      <c r="F6" s="5">
        <v>3</v>
      </c>
    </row>
    <row r="7" spans="1:6" x14ac:dyDescent="0.3">
      <c r="E7" s="7" t="s">
        <v>75</v>
      </c>
      <c r="F7" s="5">
        <v>1</v>
      </c>
    </row>
    <row r="8" spans="1:6" x14ac:dyDescent="0.3">
      <c r="B8" s="6" t="s">
        <v>859</v>
      </c>
      <c r="C8" t="s">
        <v>858</v>
      </c>
      <c r="E8" s="7" t="s">
        <v>17</v>
      </c>
      <c r="F8" s="5">
        <v>93</v>
      </c>
    </row>
    <row r="9" spans="1:6" x14ac:dyDescent="0.3">
      <c r="B9" s="7" t="s">
        <v>25</v>
      </c>
      <c r="C9" s="5">
        <v>407</v>
      </c>
      <c r="E9" s="7" t="s">
        <v>199</v>
      </c>
      <c r="F9" s="5">
        <v>28</v>
      </c>
    </row>
    <row r="10" spans="1:6" x14ac:dyDescent="0.3">
      <c r="B10" s="7" t="s">
        <v>38</v>
      </c>
      <c r="C10" s="5">
        <v>1</v>
      </c>
      <c r="E10" s="7" t="s">
        <v>34</v>
      </c>
      <c r="F10" s="5">
        <v>154</v>
      </c>
    </row>
    <row r="11" spans="1:6" x14ac:dyDescent="0.3">
      <c r="B11" s="7" t="s">
        <v>31</v>
      </c>
      <c r="C11" s="5">
        <v>1</v>
      </c>
      <c r="E11" s="7" t="s">
        <v>41</v>
      </c>
      <c r="F11" s="5">
        <v>126</v>
      </c>
    </row>
    <row r="12" spans="1:6" x14ac:dyDescent="0.3">
      <c r="B12" s="7" t="s">
        <v>860</v>
      </c>
      <c r="C12" s="5">
        <v>409</v>
      </c>
      <c r="E12" s="7" t="s">
        <v>860</v>
      </c>
      <c r="F12" s="5">
        <v>409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5A89-5DF3-4C86-8768-29C6269B076B}">
  <dimension ref="A1:T15"/>
  <sheetViews>
    <sheetView topLeftCell="C13" workbookViewId="0">
      <selection activeCell="V23" sqref="V23"/>
    </sheetView>
  </sheetViews>
  <sheetFormatPr defaultColWidth="19.3984375" defaultRowHeight="14.4" x14ac:dyDescent="0.3"/>
  <cols>
    <col min="1" max="2" width="14" bestFit="1" customWidth="1"/>
    <col min="3" max="3" width="14.69921875" bestFit="1" customWidth="1"/>
    <col min="4" max="4" width="10.09765625" bestFit="1" customWidth="1"/>
    <col min="5" max="5" width="12.69921875" bestFit="1" customWidth="1"/>
    <col min="6" max="6" width="8.69921875" bestFit="1" customWidth="1"/>
    <col min="7" max="7" width="15.09765625" bestFit="1" customWidth="1"/>
    <col min="8" max="8" width="7.69921875" bestFit="1" customWidth="1"/>
    <col min="9" max="9" width="9" customWidth="1"/>
    <col min="10" max="10" width="20.296875" style="12" bestFit="1" customWidth="1"/>
    <col min="11" max="11" width="14" bestFit="1" customWidth="1"/>
    <col min="12" max="13" width="10.09765625" bestFit="1" customWidth="1"/>
    <col min="14" max="14" width="24.19921875" bestFit="1" customWidth="1"/>
    <col min="16" max="16" width="15.296875" bestFit="1" customWidth="1"/>
    <col min="17" max="17" width="16" bestFit="1" customWidth="1"/>
    <col min="19" max="19" width="13" bestFit="1" customWidth="1"/>
    <col min="20" max="20" width="9.69921875" bestFit="1" customWidth="1"/>
  </cols>
  <sheetData>
    <row r="1" spans="1:20" x14ac:dyDescent="0.3">
      <c r="G1" s="6" t="s">
        <v>13</v>
      </c>
      <c r="H1" t="s">
        <v>25</v>
      </c>
    </row>
    <row r="3" spans="1:20" x14ac:dyDescent="0.3">
      <c r="A3" t="s">
        <v>862</v>
      </c>
      <c r="C3" t="s">
        <v>863</v>
      </c>
      <c r="E3" t="s">
        <v>865</v>
      </c>
      <c r="G3" t="s">
        <v>866</v>
      </c>
      <c r="J3" s="6" t="s">
        <v>2</v>
      </c>
      <c r="K3" t="s">
        <v>862</v>
      </c>
      <c r="M3" s="6" t="s">
        <v>878</v>
      </c>
      <c r="N3" s="5" t="s">
        <v>879</v>
      </c>
      <c r="P3" s="6" t="s">
        <v>3</v>
      </c>
      <c r="Q3" s="10" t="s">
        <v>864</v>
      </c>
      <c r="S3" s="11" t="s">
        <v>8</v>
      </c>
      <c r="T3" t="s">
        <v>861</v>
      </c>
    </row>
    <row r="4" spans="1:20" x14ac:dyDescent="0.3">
      <c r="A4" s="5">
        <v>407</v>
      </c>
      <c r="C4" s="10">
        <v>6539800</v>
      </c>
      <c r="E4" s="10">
        <v>16068.304668304669</v>
      </c>
      <c r="G4" s="5">
        <v>407</v>
      </c>
      <c r="J4" s="7" t="s">
        <v>75</v>
      </c>
      <c r="K4" s="5">
        <v>1</v>
      </c>
      <c r="M4" s="7" t="s">
        <v>867</v>
      </c>
      <c r="N4" s="5">
        <v>74</v>
      </c>
      <c r="P4" s="7" t="s">
        <v>193</v>
      </c>
      <c r="Q4" s="10">
        <v>12600</v>
      </c>
      <c r="S4" s="7" t="s">
        <v>76</v>
      </c>
      <c r="T4" s="5">
        <v>138</v>
      </c>
    </row>
    <row r="5" spans="1:20" x14ac:dyDescent="0.3">
      <c r="A5">
        <f>GETPIVOTDATA("ID",$A$3)</f>
        <v>407</v>
      </c>
      <c r="C5" s="13">
        <f>GETPIVOTDATA("Salary",$C$3)</f>
        <v>6539800</v>
      </c>
      <c r="E5" s="13">
        <f>GETPIVOTDATA("Salary",$E$3)</f>
        <v>16068.304668304669</v>
      </c>
      <c r="G5">
        <f>GETPIVOTDATA("ID",$G$3)</f>
        <v>407</v>
      </c>
      <c r="J5" s="7" t="s">
        <v>28</v>
      </c>
      <c r="K5" s="5">
        <v>3</v>
      </c>
      <c r="M5" s="7" t="s">
        <v>868</v>
      </c>
      <c r="N5" s="5">
        <v>43</v>
      </c>
      <c r="P5" s="7" t="s">
        <v>188</v>
      </c>
      <c r="Q5" s="10">
        <v>12500</v>
      </c>
      <c r="S5" s="14" t="s">
        <v>19</v>
      </c>
      <c r="T5" s="5">
        <v>1</v>
      </c>
    </row>
    <row r="6" spans="1:20" x14ac:dyDescent="0.3">
      <c r="J6" s="7" t="s">
        <v>570</v>
      </c>
      <c r="K6" s="5">
        <v>3</v>
      </c>
      <c r="M6" s="7" t="s">
        <v>869</v>
      </c>
      <c r="N6" s="5">
        <v>2</v>
      </c>
      <c r="P6" s="7" t="s">
        <v>637</v>
      </c>
      <c r="Q6" s="10">
        <v>30000</v>
      </c>
      <c r="S6" s="14" t="s">
        <v>29</v>
      </c>
      <c r="T6" s="5">
        <v>137</v>
      </c>
    </row>
    <row r="7" spans="1:20" x14ac:dyDescent="0.3">
      <c r="J7" s="7" t="s">
        <v>199</v>
      </c>
      <c r="K7" s="5">
        <v>28</v>
      </c>
      <c r="M7" s="7" t="s">
        <v>870</v>
      </c>
      <c r="N7" s="5">
        <v>1</v>
      </c>
      <c r="P7" s="7" t="s">
        <v>164</v>
      </c>
      <c r="Q7" s="10">
        <v>5653.9333333333334</v>
      </c>
      <c r="S7" s="7" t="s">
        <v>20</v>
      </c>
      <c r="T7" s="5">
        <v>269</v>
      </c>
    </row>
    <row r="8" spans="1:20" x14ac:dyDescent="0.3">
      <c r="J8" s="7" t="s">
        <v>17</v>
      </c>
      <c r="K8" s="5">
        <v>93</v>
      </c>
      <c r="M8" s="7" t="s">
        <v>871</v>
      </c>
      <c r="N8" s="5">
        <v>1</v>
      </c>
      <c r="P8" s="7" t="s">
        <v>196</v>
      </c>
      <c r="Q8" s="10">
        <v>10363.636363636364</v>
      </c>
      <c r="S8" s="14" t="s">
        <v>19</v>
      </c>
      <c r="T8" s="5">
        <v>20</v>
      </c>
    </row>
    <row r="9" spans="1:20" x14ac:dyDescent="0.3">
      <c r="J9" s="7" t="s">
        <v>41</v>
      </c>
      <c r="K9" s="5">
        <v>126</v>
      </c>
      <c r="M9" s="7" t="s">
        <v>872</v>
      </c>
      <c r="N9" s="5">
        <v>7</v>
      </c>
      <c r="P9" s="7" t="s">
        <v>18</v>
      </c>
      <c r="Q9" s="10">
        <v>16832.975069252079</v>
      </c>
      <c r="S9" s="14" t="s">
        <v>29</v>
      </c>
      <c r="T9" s="5">
        <v>249</v>
      </c>
    </row>
    <row r="10" spans="1:20" x14ac:dyDescent="0.3">
      <c r="J10" s="7" t="s">
        <v>34</v>
      </c>
      <c r="K10" s="5">
        <v>153</v>
      </c>
      <c r="M10" s="7" t="s">
        <v>873</v>
      </c>
      <c r="N10" s="5">
        <v>12</v>
      </c>
      <c r="P10" s="7" t="s">
        <v>42</v>
      </c>
      <c r="Q10" s="10">
        <v>10000</v>
      </c>
      <c r="S10" s="7" t="s">
        <v>860</v>
      </c>
      <c r="T10" s="5">
        <v>407</v>
      </c>
    </row>
    <row r="11" spans="1:20" x14ac:dyDescent="0.3">
      <c r="J11" s="7" t="s">
        <v>860</v>
      </c>
      <c r="K11" s="5">
        <v>407</v>
      </c>
      <c r="M11" s="7" t="s">
        <v>874</v>
      </c>
      <c r="N11" s="5">
        <v>2</v>
      </c>
      <c r="P11" s="7" t="s">
        <v>170</v>
      </c>
      <c r="Q11" s="10">
        <v>9057.4</v>
      </c>
    </row>
    <row r="12" spans="1:20" x14ac:dyDescent="0.3">
      <c r="M12" s="7" t="s">
        <v>875</v>
      </c>
      <c r="N12" s="5">
        <v>1</v>
      </c>
      <c r="P12" s="7" t="s">
        <v>856</v>
      </c>
      <c r="Q12" s="10">
        <v>7000</v>
      </c>
    </row>
    <row r="13" spans="1:20" x14ac:dyDescent="0.3">
      <c r="M13" s="7" t="s">
        <v>876</v>
      </c>
      <c r="N13" s="5">
        <v>2</v>
      </c>
      <c r="P13" s="7" t="s">
        <v>849</v>
      </c>
      <c r="Q13" s="10">
        <v>30000</v>
      </c>
    </row>
    <row r="14" spans="1:20" x14ac:dyDescent="0.3">
      <c r="M14" s="7" t="s">
        <v>877</v>
      </c>
      <c r="N14" s="5">
        <v>262</v>
      </c>
      <c r="P14" s="7" t="s">
        <v>860</v>
      </c>
      <c r="Q14" s="10">
        <v>16068.304668304669</v>
      </c>
    </row>
    <row r="15" spans="1:20" x14ac:dyDescent="0.3">
      <c r="M15" s="7" t="s">
        <v>860</v>
      </c>
      <c r="N15" s="5">
        <v>407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6D5A-6362-4E89-A025-E6E174837AFA}">
  <dimension ref="A1"/>
  <sheetViews>
    <sheetView showGridLines="0" tabSelected="1" topLeftCell="A24" zoomScale="57" workbookViewId="0">
      <selection activeCell="W12" sqref="W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opLeftCell="A2" workbookViewId="0">
      <selection activeCell="G13" sqref="G13"/>
    </sheetView>
  </sheetViews>
  <sheetFormatPr defaultColWidth="14.5" defaultRowHeight="15" customHeight="1" x14ac:dyDescent="0.3"/>
  <cols>
    <col min="1" max="1" width="7.69921875" customWidth="1"/>
    <col min="2" max="2" width="35.09765625" customWidth="1"/>
    <col min="3" max="3" width="22.296875" customWidth="1"/>
    <col min="4" max="4" width="16.796875" customWidth="1"/>
    <col min="5" max="5" width="18.8984375" customWidth="1"/>
    <col min="6" max="6" width="15.5" customWidth="1"/>
    <col min="7" max="7" width="20.296875" style="3" customWidth="1"/>
    <col min="8" max="8" width="12.69921875" style="3" customWidth="1"/>
    <col min="9" max="9" width="9" customWidth="1"/>
    <col min="10" max="10" width="14.59765625" customWidth="1"/>
    <col min="11" max="11" width="13.3984375" customWidth="1"/>
    <col min="12" max="12" width="17.09765625" customWidth="1"/>
    <col min="13" max="13" width="19.796875" customWidth="1"/>
    <col min="14" max="14" width="15.5" customWidth="1"/>
    <col min="15" max="15" width="13.69921875" style="9" customWidth="1"/>
    <col min="16" max="26" width="8.69921875" customWidth="1"/>
  </cols>
  <sheetData>
    <row r="1" spans="1:15" ht="14.4" x14ac:dyDescent="0.3">
      <c r="A1" s="1" t="s">
        <v>0</v>
      </c>
      <c r="B1" s="1" t="s">
        <v>1</v>
      </c>
      <c r="C1" s="1" t="s">
        <v>2</v>
      </c>
      <c r="D1" s="1" t="s">
        <v>3</v>
      </c>
      <c r="E1" s="1" t="s">
        <v>4</v>
      </c>
      <c r="F1" s="1" t="s">
        <v>5</v>
      </c>
      <c r="G1" s="2" t="s">
        <v>6</v>
      </c>
      <c r="H1" s="2" t="s">
        <v>7</v>
      </c>
      <c r="I1" s="1" t="s">
        <v>8</v>
      </c>
      <c r="J1" s="1" t="s">
        <v>9</v>
      </c>
      <c r="K1" s="1" t="s">
        <v>10</v>
      </c>
      <c r="L1" s="1" t="s">
        <v>11</v>
      </c>
      <c r="M1" s="1" t="s">
        <v>12</v>
      </c>
      <c r="N1" s="1" t="s">
        <v>13</v>
      </c>
      <c r="O1" s="8" t="s">
        <v>14</v>
      </c>
    </row>
    <row r="2" spans="1:15" ht="14.4" x14ac:dyDescent="0.3">
      <c r="A2" s="1" t="s">
        <v>15</v>
      </c>
      <c r="B2" s="1" t="s">
        <v>16</v>
      </c>
      <c r="C2" s="1" t="s">
        <v>17</v>
      </c>
      <c r="D2" s="1" t="s">
        <v>18</v>
      </c>
      <c r="E2" s="1" t="s">
        <v>853</v>
      </c>
      <c r="F2" s="1" t="s">
        <v>19</v>
      </c>
      <c r="G2" s="2">
        <v>45171</v>
      </c>
      <c r="H2" s="2">
        <v>44991</v>
      </c>
      <c r="I2" s="1" t="s">
        <v>20</v>
      </c>
      <c r="J2" s="1" t="s">
        <v>21</v>
      </c>
      <c r="K2" s="1" t="s">
        <v>22</v>
      </c>
      <c r="L2" s="1" t="s">
        <v>23</v>
      </c>
      <c r="M2" s="1" t="s">
        <v>24</v>
      </c>
      <c r="N2" s="1" t="s">
        <v>25</v>
      </c>
      <c r="O2" s="8">
        <v>10000</v>
      </c>
    </row>
    <row r="3" spans="1:15" ht="14.4" hidden="1" x14ac:dyDescent="0.3">
      <c r="A3" s="1" t="s">
        <v>26</v>
      </c>
      <c r="B3" s="1" t="s">
        <v>27</v>
      </c>
      <c r="C3" s="1" t="s">
        <v>28</v>
      </c>
      <c r="D3" s="1" t="s">
        <v>18</v>
      </c>
      <c r="E3" s="1" t="s">
        <v>854</v>
      </c>
      <c r="F3" s="1" t="s">
        <v>29</v>
      </c>
      <c r="G3" s="2">
        <v>45232</v>
      </c>
      <c r="H3" s="2">
        <v>45052</v>
      </c>
      <c r="I3" s="1" t="s">
        <v>20</v>
      </c>
      <c r="J3" s="1" t="s">
        <v>21</v>
      </c>
      <c r="K3" s="1" t="s">
        <v>30</v>
      </c>
      <c r="L3" s="1" t="s">
        <v>23</v>
      </c>
      <c r="M3" s="1" t="s">
        <v>24</v>
      </c>
      <c r="N3" s="1" t="s">
        <v>31</v>
      </c>
      <c r="O3" s="4">
        <v>2500</v>
      </c>
    </row>
    <row r="4" spans="1:15" ht="14.4" hidden="1" x14ac:dyDescent="0.3">
      <c r="A4" s="1" t="s">
        <v>32</v>
      </c>
      <c r="B4" s="1" t="s">
        <v>33</v>
      </c>
      <c r="C4" s="1" t="s">
        <v>34</v>
      </c>
      <c r="D4" s="1" t="s">
        <v>18</v>
      </c>
      <c r="E4" s="1" t="s">
        <v>853</v>
      </c>
      <c r="F4" s="1" t="s">
        <v>19</v>
      </c>
      <c r="G4" s="2">
        <v>45246</v>
      </c>
      <c r="H4" s="2">
        <v>45066</v>
      </c>
      <c r="I4" s="1" t="s">
        <v>20</v>
      </c>
      <c r="J4" s="1" t="s">
        <v>35</v>
      </c>
      <c r="K4" s="1" t="s">
        <v>36</v>
      </c>
      <c r="L4" s="1" t="s">
        <v>37</v>
      </c>
      <c r="M4" s="1" t="s">
        <v>277</v>
      </c>
      <c r="N4" s="1" t="s">
        <v>38</v>
      </c>
      <c r="O4" s="4">
        <v>500</v>
      </c>
    </row>
    <row r="5" spans="1:15" ht="14.4" x14ac:dyDescent="0.3">
      <c r="A5" s="1" t="s">
        <v>39</v>
      </c>
      <c r="B5" s="1" t="s">
        <v>40</v>
      </c>
      <c r="C5" s="1" t="s">
        <v>41</v>
      </c>
      <c r="D5" s="1" t="s">
        <v>42</v>
      </c>
      <c r="E5" s="1" t="s">
        <v>854</v>
      </c>
      <c r="F5" s="1" t="s">
        <v>19</v>
      </c>
      <c r="G5" s="2">
        <v>45258</v>
      </c>
      <c r="H5" s="2">
        <v>45078</v>
      </c>
      <c r="I5" s="1" t="s">
        <v>20</v>
      </c>
      <c r="J5" s="1" t="s">
        <v>35</v>
      </c>
      <c r="K5" s="1" t="s">
        <v>30</v>
      </c>
      <c r="L5" s="1" t="s">
        <v>43</v>
      </c>
      <c r="M5" s="1" t="s">
        <v>44</v>
      </c>
      <c r="N5" s="1" t="s">
        <v>25</v>
      </c>
      <c r="O5" s="8">
        <v>10000</v>
      </c>
    </row>
    <row r="6" spans="1:15" ht="14.4" x14ac:dyDescent="0.3">
      <c r="A6" s="1" t="s">
        <v>45</v>
      </c>
      <c r="B6" s="1" t="s">
        <v>46</v>
      </c>
      <c r="C6" s="1" t="s">
        <v>34</v>
      </c>
      <c r="D6" s="1" t="s">
        <v>18</v>
      </c>
      <c r="E6" s="1" t="s">
        <v>854</v>
      </c>
      <c r="F6" s="1" t="s">
        <v>29</v>
      </c>
      <c r="G6" s="2">
        <v>45269</v>
      </c>
      <c r="H6" s="2">
        <v>45089</v>
      </c>
      <c r="I6" s="1" t="s">
        <v>20</v>
      </c>
      <c r="J6" s="1" t="s">
        <v>21</v>
      </c>
      <c r="K6" s="1" t="s">
        <v>36</v>
      </c>
      <c r="L6" s="1" t="s">
        <v>47</v>
      </c>
      <c r="M6" s="1" t="s">
        <v>857</v>
      </c>
      <c r="N6" s="1" t="s">
        <v>25</v>
      </c>
      <c r="O6" s="8">
        <v>10000</v>
      </c>
    </row>
    <row r="7" spans="1:15" ht="14.4" x14ac:dyDescent="0.3">
      <c r="A7" s="1" t="s">
        <v>48</v>
      </c>
      <c r="B7" s="1" t="s">
        <v>49</v>
      </c>
      <c r="C7" s="1" t="s">
        <v>41</v>
      </c>
      <c r="D7" s="1" t="s">
        <v>18</v>
      </c>
      <c r="E7" s="1" t="s">
        <v>854</v>
      </c>
      <c r="F7" s="1" t="s">
        <v>19</v>
      </c>
      <c r="G7" s="2">
        <v>45269</v>
      </c>
      <c r="H7" s="2">
        <v>45089</v>
      </c>
      <c r="I7" s="1" t="s">
        <v>20</v>
      </c>
      <c r="J7" s="1" t="s">
        <v>21</v>
      </c>
      <c r="K7" s="1" t="s">
        <v>22</v>
      </c>
      <c r="L7" s="1" t="s">
        <v>23</v>
      </c>
      <c r="M7" s="1" t="s">
        <v>24</v>
      </c>
      <c r="N7" s="1" t="s">
        <v>25</v>
      </c>
      <c r="O7" s="8">
        <v>10000</v>
      </c>
    </row>
    <row r="8" spans="1:15" ht="14.4" x14ac:dyDescent="0.3">
      <c r="A8" s="1" t="s">
        <v>50</v>
      </c>
      <c r="B8" s="1" t="s">
        <v>51</v>
      </c>
      <c r="C8" s="1" t="s">
        <v>34</v>
      </c>
      <c r="D8" s="1" t="s">
        <v>18</v>
      </c>
      <c r="E8" s="1" t="s">
        <v>854</v>
      </c>
      <c r="F8" s="1" t="s">
        <v>19</v>
      </c>
      <c r="G8" s="2">
        <v>45272</v>
      </c>
      <c r="H8" s="2">
        <v>45092</v>
      </c>
      <c r="I8" s="1" t="s">
        <v>20</v>
      </c>
      <c r="J8" s="1" t="s">
        <v>35</v>
      </c>
      <c r="K8" s="1" t="s">
        <v>36</v>
      </c>
      <c r="L8" s="1" t="s">
        <v>23</v>
      </c>
      <c r="M8" s="1" t="s">
        <v>24</v>
      </c>
      <c r="N8" s="1" t="s">
        <v>25</v>
      </c>
      <c r="O8" s="8">
        <v>10000</v>
      </c>
    </row>
    <row r="9" spans="1:15" ht="14.4" x14ac:dyDescent="0.3">
      <c r="A9" s="1" t="s">
        <v>52</v>
      </c>
      <c r="B9" s="1" t="s">
        <v>53</v>
      </c>
      <c r="C9" s="1" t="s">
        <v>41</v>
      </c>
      <c r="D9" s="1" t="s">
        <v>18</v>
      </c>
      <c r="E9" s="1" t="s">
        <v>853</v>
      </c>
      <c r="F9" s="1" t="s">
        <v>19</v>
      </c>
      <c r="G9" s="2">
        <v>45277</v>
      </c>
      <c r="H9" s="2">
        <v>45097</v>
      </c>
      <c r="I9" s="1" t="s">
        <v>20</v>
      </c>
      <c r="J9" s="1" t="s">
        <v>21</v>
      </c>
      <c r="K9" s="1" t="s">
        <v>54</v>
      </c>
      <c r="L9" s="1" t="s">
        <v>23</v>
      </c>
      <c r="M9" s="1" t="s">
        <v>24</v>
      </c>
      <c r="N9" s="1" t="s">
        <v>25</v>
      </c>
      <c r="O9" s="8">
        <v>523</v>
      </c>
    </row>
    <row r="10" spans="1:15" ht="14.4" x14ac:dyDescent="0.3">
      <c r="A10" s="1" t="s">
        <v>55</v>
      </c>
      <c r="B10" s="1" t="s">
        <v>56</v>
      </c>
      <c r="C10" s="1" t="s">
        <v>41</v>
      </c>
      <c r="D10" s="1" t="s">
        <v>18</v>
      </c>
      <c r="E10" s="1" t="s">
        <v>854</v>
      </c>
      <c r="F10" s="1" t="s">
        <v>19</v>
      </c>
      <c r="G10" s="2">
        <v>45277</v>
      </c>
      <c r="H10" s="2">
        <v>45097</v>
      </c>
      <c r="I10" s="1" t="s">
        <v>20</v>
      </c>
      <c r="J10" s="1" t="s">
        <v>21</v>
      </c>
      <c r="K10" s="1" t="s">
        <v>30</v>
      </c>
      <c r="L10" s="1" t="s">
        <v>23</v>
      </c>
      <c r="M10" s="1" t="s">
        <v>24</v>
      </c>
      <c r="N10" s="1" t="s">
        <v>25</v>
      </c>
      <c r="O10" s="8">
        <v>10000</v>
      </c>
    </row>
    <row r="11" spans="1:15" ht="14.4" x14ac:dyDescent="0.3">
      <c r="A11" s="1" t="s">
        <v>57</v>
      </c>
      <c r="B11" s="1" t="s">
        <v>58</v>
      </c>
      <c r="C11" s="1" t="s">
        <v>34</v>
      </c>
      <c r="D11" s="1" t="s">
        <v>18</v>
      </c>
      <c r="E11" s="1" t="s">
        <v>854</v>
      </c>
      <c r="F11" s="1" t="s">
        <v>19</v>
      </c>
      <c r="G11" s="2">
        <v>45278</v>
      </c>
      <c r="H11" s="2">
        <v>45098</v>
      </c>
      <c r="I11" s="1" t="s">
        <v>20</v>
      </c>
      <c r="J11" s="1" t="s">
        <v>35</v>
      </c>
      <c r="K11" s="1" t="s">
        <v>36</v>
      </c>
      <c r="L11" s="1" t="s">
        <v>23</v>
      </c>
      <c r="M11" s="1" t="s">
        <v>24</v>
      </c>
      <c r="N11" s="1" t="s">
        <v>25</v>
      </c>
      <c r="O11" s="8">
        <v>216363</v>
      </c>
    </row>
    <row r="12" spans="1:15" ht="14.4" x14ac:dyDescent="0.3">
      <c r="A12" s="1" t="s">
        <v>59</v>
      </c>
      <c r="B12" s="1" t="s">
        <v>60</v>
      </c>
      <c r="C12" s="1" t="s">
        <v>34</v>
      </c>
      <c r="D12" s="1" t="s">
        <v>18</v>
      </c>
      <c r="E12" s="1" t="s">
        <v>853</v>
      </c>
      <c r="F12" s="1" t="s">
        <v>19</v>
      </c>
      <c r="G12" s="2">
        <v>45288</v>
      </c>
      <c r="H12" s="2">
        <v>45108</v>
      </c>
      <c r="I12" s="1" t="s">
        <v>20</v>
      </c>
      <c r="J12" s="1" t="s">
        <v>35</v>
      </c>
      <c r="K12" s="1" t="s">
        <v>36</v>
      </c>
      <c r="L12" s="1" t="s">
        <v>43</v>
      </c>
      <c r="M12" s="1" t="s">
        <v>44</v>
      </c>
      <c r="N12" s="1" t="s">
        <v>25</v>
      </c>
      <c r="O12" s="8">
        <v>10000</v>
      </c>
    </row>
    <row r="13" spans="1:15" ht="14.4" x14ac:dyDescent="0.3">
      <c r="A13" s="1" t="s">
        <v>61</v>
      </c>
      <c r="B13" s="1" t="s">
        <v>62</v>
      </c>
      <c r="C13" s="1" t="s">
        <v>34</v>
      </c>
      <c r="D13" s="1" t="s">
        <v>18</v>
      </c>
      <c r="E13" s="1" t="s">
        <v>854</v>
      </c>
      <c r="F13" s="1" t="s">
        <v>19</v>
      </c>
      <c r="G13" s="2">
        <v>45297</v>
      </c>
      <c r="H13" s="2">
        <v>45117</v>
      </c>
      <c r="I13" s="1" t="s">
        <v>20</v>
      </c>
      <c r="J13" s="1" t="s">
        <v>35</v>
      </c>
      <c r="K13" s="1" t="s">
        <v>54</v>
      </c>
      <c r="L13" s="1" t="s">
        <v>23</v>
      </c>
      <c r="M13" s="1" t="s">
        <v>24</v>
      </c>
      <c r="N13" s="1" t="s">
        <v>25</v>
      </c>
      <c r="O13" s="8">
        <v>10000</v>
      </c>
    </row>
    <row r="14" spans="1:15" ht="14.4" x14ac:dyDescent="0.3">
      <c r="A14" s="1" t="s">
        <v>63</v>
      </c>
      <c r="B14" s="1" t="s">
        <v>64</v>
      </c>
      <c r="C14" s="1" t="s">
        <v>41</v>
      </c>
      <c r="D14" s="1" t="s">
        <v>18</v>
      </c>
      <c r="E14" s="1" t="s">
        <v>854</v>
      </c>
      <c r="F14" s="1" t="s">
        <v>19</v>
      </c>
      <c r="G14" s="2">
        <v>45297</v>
      </c>
      <c r="H14" s="2">
        <v>45117</v>
      </c>
      <c r="I14" s="1" t="s">
        <v>20</v>
      </c>
      <c r="J14" s="1" t="s">
        <v>35</v>
      </c>
      <c r="K14" s="1" t="s">
        <v>22</v>
      </c>
      <c r="L14" s="1" t="s">
        <v>65</v>
      </c>
      <c r="M14" s="1" t="s">
        <v>277</v>
      </c>
      <c r="N14" s="1" t="s">
        <v>25</v>
      </c>
      <c r="O14" s="8">
        <v>525</v>
      </c>
    </row>
    <row r="15" spans="1:15" ht="14.4" x14ac:dyDescent="0.3">
      <c r="A15" s="1" t="s">
        <v>66</v>
      </c>
      <c r="B15" s="1" t="s">
        <v>67</v>
      </c>
      <c r="C15" s="1" t="s">
        <v>41</v>
      </c>
      <c r="D15" s="1" t="s">
        <v>18</v>
      </c>
      <c r="E15" s="1" t="s">
        <v>854</v>
      </c>
      <c r="F15" s="1" t="s">
        <v>29</v>
      </c>
      <c r="G15" s="2">
        <v>45297</v>
      </c>
      <c r="H15" s="2">
        <v>45117</v>
      </c>
      <c r="I15" s="1" t="s">
        <v>20</v>
      </c>
      <c r="J15" s="1" t="s">
        <v>35</v>
      </c>
      <c r="K15" s="1" t="s">
        <v>68</v>
      </c>
      <c r="L15" s="1" t="s">
        <v>23</v>
      </c>
      <c r="M15" s="1" t="s">
        <v>24</v>
      </c>
      <c r="N15" s="1" t="s">
        <v>25</v>
      </c>
      <c r="O15" s="8">
        <v>10000</v>
      </c>
    </row>
    <row r="16" spans="1:15" ht="14.4" x14ac:dyDescent="0.3">
      <c r="A16" s="1" t="s">
        <v>69</v>
      </c>
      <c r="B16" s="1" t="s">
        <v>70</v>
      </c>
      <c r="C16" s="1" t="s">
        <v>34</v>
      </c>
      <c r="D16" s="1" t="s">
        <v>18</v>
      </c>
      <c r="E16" s="1" t="s">
        <v>855</v>
      </c>
      <c r="F16" s="1" t="s">
        <v>19</v>
      </c>
      <c r="G16" s="2">
        <v>45297</v>
      </c>
      <c r="H16" s="2">
        <v>45117</v>
      </c>
      <c r="I16" s="1" t="s">
        <v>20</v>
      </c>
      <c r="J16" s="1" t="s">
        <v>21</v>
      </c>
      <c r="K16" s="1" t="s">
        <v>22</v>
      </c>
      <c r="L16" s="1" t="s">
        <v>23</v>
      </c>
      <c r="M16" s="1" t="s">
        <v>24</v>
      </c>
      <c r="N16" s="1" t="s">
        <v>25</v>
      </c>
      <c r="O16" s="8">
        <v>15265</v>
      </c>
    </row>
    <row r="17" spans="1:15" ht="14.4" x14ac:dyDescent="0.3">
      <c r="A17" s="1" t="s">
        <v>71</v>
      </c>
      <c r="B17" s="1" t="s">
        <v>72</v>
      </c>
      <c r="C17" s="1" t="s">
        <v>17</v>
      </c>
      <c r="D17" s="1" t="s">
        <v>18</v>
      </c>
      <c r="E17" s="1" t="s">
        <v>854</v>
      </c>
      <c r="F17" s="1" t="s">
        <v>19</v>
      </c>
      <c r="G17" s="2">
        <v>45297</v>
      </c>
      <c r="H17" s="2">
        <v>45117</v>
      </c>
      <c r="I17" s="1" t="s">
        <v>20</v>
      </c>
      <c r="J17" s="1" t="s">
        <v>35</v>
      </c>
      <c r="K17" s="1" t="s">
        <v>36</v>
      </c>
      <c r="L17" s="1" t="s">
        <v>23</v>
      </c>
      <c r="M17" s="1" t="s">
        <v>24</v>
      </c>
      <c r="N17" s="1" t="s">
        <v>25</v>
      </c>
      <c r="O17" s="8">
        <v>10000</v>
      </c>
    </row>
    <row r="18" spans="1:15" ht="14.4" x14ac:dyDescent="0.3">
      <c r="A18" s="1" t="s">
        <v>73</v>
      </c>
      <c r="B18" s="1" t="s">
        <v>74</v>
      </c>
      <c r="C18" s="1" t="s">
        <v>75</v>
      </c>
      <c r="D18" s="1" t="s">
        <v>18</v>
      </c>
      <c r="E18" s="1" t="s">
        <v>855</v>
      </c>
      <c r="F18" s="1" t="s">
        <v>19</v>
      </c>
      <c r="G18" s="2">
        <v>45297</v>
      </c>
      <c r="H18" s="2">
        <v>45117</v>
      </c>
      <c r="I18" s="1" t="s">
        <v>76</v>
      </c>
      <c r="J18" s="1" t="s">
        <v>35</v>
      </c>
      <c r="K18" s="1" t="s">
        <v>36</v>
      </c>
      <c r="L18" s="1" t="s">
        <v>23</v>
      </c>
      <c r="M18" s="1" t="s">
        <v>24</v>
      </c>
      <c r="N18" s="1" t="s">
        <v>25</v>
      </c>
      <c r="O18" s="8">
        <v>56</v>
      </c>
    </row>
    <row r="19" spans="1:15" ht="14.4" x14ac:dyDescent="0.3">
      <c r="A19" s="1" t="s">
        <v>77</v>
      </c>
      <c r="B19" s="1" t="s">
        <v>78</v>
      </c>
      <c r="C19" s="1" t="s">
        <v>17</v>
      </c>
      <c r="D19" s="1" t="s">
        <v>18</v>
      </c>
      <c r="E19" s="1" t="s">
        <v>854</v>
      </c>
      <c r="F19" s="1" t="s">
        <v>19</v>
      </c>
      <c r="G19" s="2">
        <v>45297</v>
      </c>
      <c r="H19" s="2">
        <v>45117</v>
      </c>
      <c r="I19" s="1" t="s">
        <v>20</v>
      </c>
      <c r="J19" s="1" t="s">
        <v>35</v>
      </c>
      <c r="K19" s="1" t="s">
        <v>22</v>
      </c>
      <c r="L19" s="1" t="s">
        <v>23</v>
      </c>
      <c r="M19" s="1" t="s">
        <v>24</v>
      </c>
      <c r="N19" s="1" t="s">
        <v>25</v>
      </c>
      <c r="O19" s="8">
        <v>10000</v>
      </c>
    </row>
    <row r="20" spans="1:15" ht="14.4" x14ac:dyDescent="0.3">
      <c r="A20" s="1" t="s">
        <v>79</v>
      </c>
      <c r="B20" s="1" t="s">
        <v>80</v>
      </c>
      <c r="C20" s="1" t="s">
        <v>28</v>
      </c>
      <c r="D20" s="1" t="s">
        <v>18</v>
      </c>
      <c r="E20" s="1" t="s">
        <v>854</v>
      </c>
      <c r="F20" s="1" t="s">
        <v>19</v>
      </c>
      <c r="G20" s="2">
        <v>45297</v>
      </c>
      <c r="H20" s="2">
        <v>45117</v>
      </c>
      <c r="I20" s="1" t="s">
        <v>20</v>
      </c>
      <c r="J20" s="1" t="s">
        <v>21</v>
      </c>
      <c r="K20" s="1" t="s">
        <v>54</v>
      </c>
      <c r="L20" s="1" t="s">
        <v>23</v>
      </c>
      <c r="M20" s="1" t="s">
        <v>24</v>
      </c>
      <c r="N20" s="1" t="s">
        <v>25</v>
      </c>
      <c r="O20" s="8">
        <v>10000</v>
      </c>
    </row>
    <row r="21" spans="1:15" ht="15.7" customHeight="1" x14ac:dyDescent="0.3">
      <c r="A21" s="1" t="s">
        <v>81</v>
      </c>
      <c r="B21" s="1" t="s">
        <v>82</v>
      </c>
      <c r="C21" s="1" t="s">
        <v>34</v>
      </c>
      <c r="D21" s="1" t="s">
        <v>18</v>
      </c>
      <c r="E21" s="1" t="s">
        <v>855</v>
      </c>
      <c r="F21" s="1" t="s">
        <v>19</v>
      </c>
      <c r="G21" s="2">
        <v>45297</v>
      </c>
      <c r="H21" s="2">
        <v>45117</v>
      </c>
      <c r="I21" s="1" t="s">
        <v>20</v>
      </c>
      <c r="J21" s="1" t="s">
        <v>21</v>
      </c>
      <c r="K21" s="1" t="s">
        <v>36</v>
      </c>
      <c r="L21" s="1" t="s">
        <v>23</v>
      </c>
      <c r="M21" s="1" t="s">
        <v>24</v>
      </c>
      <c r="N21" s="1" t="s">
        <v>25</v>
      </c>
      <c r="O21" s="8">
        <v>1662</v>
      </c>
    </row>
    <row r="22" spans="1:15" ht="15.7" customHeight="1" x14ac:dyDescent="0.3">
      <c r="A22" s="1" t="s">
        <v>83</v>
      </c>
      <c r="B22" s="1" t="s">
        <v>84</v>
      </c>
      <c r="C22" s="1" t="s">
        <v>41</v>
      </c>
      <c r="D22" s="1" t="s">
        <v>18</v>
      </c>
      <c r="E22" s="1" t="s">
        <v>855</v>
      </c>
      <c r="F22" s="1" t="s">
        <v>19</v>
      </c>
      <c r="G22" s="2">
        <v>45297</v>
      </c>
      <c r="H22" s="2">
        <v>45117</v>
      </c>
      <c r="I22" s="1" t="s">
        <v>20</v>
      </c>
      <c r="J22" s="1" t="s">
        <v>21</v>
      </c>
      <c r="K22" s="1" t="s">
        <v>36</v>
      </c>
      <c r="L22" s="1" t="s">
        <v>23</v>
      </c>
      <c r="M22" s="1" t="s">
        <v>24</v>
      </c>
      <c r="N22" s="1" t="s">
        <v>25</v>
      </c>
      <c r="O22" s="8">
        <v>10000</v>
      </c>
    </row>
    <row r="23" spans="1:15" ht="15.7" customHeight="1" x14ac:dyDescent="0.3">
      <c r="A23" s="1" t="s">
        <v>85</v>
      </c>
      <c r="B23" s="1" t="s">
        <v>86</v>
      </c>
      <c r="C23" s="1" t="s">
        <v>34</v>
      </c>
      <c r="D23" s="1" t="s">
        <v>18</v>
      </c>
      <c r="E23" s="1" t="s">
        <v>855</v>
      </c>
      <c r="F23" s="1" t="s">
        <v>19</v>
      </c>
      <c r="G23" s="2">
        <v>45298</v>
      </c>
      <c r="H23" s="2">
        <v>45118</v>
      </c>
      <c r="I23" s="1" t="s">
        <v>20</v>
      </c>
      <c r="J23" s="1" t="s">
        <v>21</v>
      </c>
      <c r="K23" s="1" t="s">
        <v>36</v>
      </c>
      <c r="L23" s="1" t="s">
        <v>23</v>
      </c>
      <c r="M23" s="1" t="s">
        <v>24</v>
      </c>
      <c r="N23" s="1" t="s">
        <v>25</v>
      </c>
      <c r="O23" s="8">
        <v>10000</v>
      </c>
    </row>
    <row r="24" spans="1:15" ht="15.7" customHeight="1" x14ac:dyDescent="0.3">
      <c r="A24" s="1" t="s">
        <v>87</v>
      </c>
      <c r="B24" s="1" t="s">
        <v>88</v>
      </c>
      <c r="C24" s="1" t="s">
        <v>41</v>
      </c>
      <c r="D24" s="1" t="s">
        <v>18</v>
      </c>
      <c r="E24" s="1" t="s">
        <v>854</v>
      </c>
      <c r="F24" s="1" t="s">
        <v>19</v>
      </c>
      <c r="G24" s="2">
        <v>45323</v>
      </c>
      <c r="H24" s="2">
        <v>45143</v>
      </c>
      <c r="I24" s="1" t="s">
        <v>20</v>
      </c>
      <c r="J24" s="1" t="s">
        <v>35</v>
      </c>
      <c r="K24" s="1" t="s">
        <v>36</v>
      </c>
      <c r="L24" s="1" t="s">
        <v>23</v>
      </c>
      <c r="M24" s="1" t="s">
        <v>24</v>
      </c>
      <c r="N24" s="1" t="s">
        <v>25</v>
      </c>
      <c r="O24" s="8">
        <v>6232</v>
      </c>
    </row>
    <row r="25" spans="1:15" ht="15.7" customHeight="1" x14ac:dyDescent="0.3">
      <c r="A25" s="1" t="s">
        <v>89</v>
      </c>
      <c r="B25" s="1" t="s">
        <v>90</v>
      </c>
      <c r="C25" s="1" t="s">
        <v>41</v>
      </c>
      <c r="D25" s="1" t="s">
        <v>18</v>
      </c>
      <c r="E25" s="1" t="s">
        <v>854</v>
      </c>
      <c r="F25" s="1" t="s">
        <v>19</v>
      </c>
      <c r="G25" s="2">
        <v>45323</v>
      </c>
      <c r="H25" s="2">
        <v>45143</v>
      </c>
      <c r="I25" s="1" t="s">
        <v>20</v>
      </c>
      <c r="J25" s="1" t="s">
        <v>35</v>
      </c>
      <c r="K25" s="1" t="s">
        <v>30</v>
      </c>
      <c r="L25" s="1" t="s">
        <v>91</v>
      </c>
      <c r="M25" s="1" t="s">
        <v>44</v>
      </c>
      <c r="N25" s="1" t="s">
        <v>25</v>
      </c>
      <c r="O25" s="8">
        <v>10000</v>
      </c>
    </row>
    <row r="26" spans="1:15" ht="15.7" customHeight="1" x14ac:dyDescent="0.3">
      <c r="A26" s="1" t="s">
        <v>92</v>
      </c>
      <c r="B26" s="1" t="s">
        <v>93</v>
      </c>
      <c r="C26" s="1" t="s">
        <v>41</v>
      </c>
      <c r="D26" s="1" t="s">
        <v>18</v>
      </c>
      <c r="E26" s="1" t="s">
        <v>854</v>
      </c>
      <c r="F26" s="1" t="s">
        <v>19</v>
      </c>
      <c r="G26" s="2">
        <v>45356</v>
      </c>
      <c r="H26" s="2">
        <v>45176</v>
      </c>
      <c r="I26" s="1" t="s">
        <v>20</v>
      </c>
      <c r="J26" s="1" t="s">
        <v>35</v>
      </c>
      <c r="K26" s="1" t="s">
        <v>22</v>
      </c>
      <c r="L26" s="1" t="s">
        <v>23</v>
      </c>
      <c r="M26" s="1" t="s">
        <v>24</v>
      </c>
      <c r="N26" s="1" t="s">
        <v>25</v>
      </c>
      <c r="O26" s="8">
        <v>10000</v>
      </c>
    </row>
    <row r="27" spans="1:15" ht="15.7" customHeight="1" x14ac:dyDescent="0.3">
      <c r="A27" s="1" t="s">
        <v>94</v>
      </c>
      <c r="B27" s="1" t="s">
        <v>95</v>
      </c>
      <c r="C27" s="1" t="s">
        <v>17</v>
      </c>
      <c r="D27" s="1" t="s">
        <v>18</v>
      </c>
      <c r="E27" s="1" t="s">
        <v>854</v>
      </c>
      <c r="F27" s="1" t="s">
        <v>29</v>
      </c>
      <c r="G27" s="2">
        <v>45430</v>
      </c>
      <c r="H27" s="2">
        <v>45250</v>
      </c>
      <c r="I27" s="1" t="s">
        <v>20</v>
      </c>
      <c r="J27" s="1" t="s">
        <v>35</v>
      </c>
      <c r="K27" s="1" t="s">
        <v>36</v>
      </c>
      <c r="L27" s="1" t="s">
        <v>96</v>
      </c>
      <c r="M27" s="1" t="s">
        <v>97</v>
      </c>
      <c r="N27" s="1" t="s">
        <v>25</v>
      </c>
      <c r="O27" s="8">
        <v>21633</v>
      </c>
    </row>
    <row r="28" spans="1:15" ht="15.7" customHeight="1" x14ac:dyDescent="0.3">
      <c r="A28" s="1" t="s">
        <v>98</v>
      </c>
      <c r="B28" s="1" t="s">
        <v>99</v>
      </c>
      <c r="C28" s="1" t="s">
        <v>34</v>
      </c>
      <c r="D28" s="1" t="s">
        <v>18</v>
      </c>
      <c r="E28" s="1" t="s">
        <v>854</v>
      </c>
      <c r="F28" s="1" t="s">
        <v>29</v>
      </c>
      <c r="G28" s="2">
        <v>45430</v>
      </c>
      <c r="H28" s="2">
        <v>45250</v>
      </c>
      <c r="I28" s="1" t="s">
        <v>20</v>
      </c>
      <c r="J28" s="1" t="s">
        <v>35</v>
      </c>
      <c r="K28" s="1" t="s">
        <v>36</v>
      </c>
      <c r="L28" s="1" t="s">
        <v>65</v>
      </c>
      <c r="M28" s="1" t="s">
        <v>277</v>
      </c>
      <c r="N28" s="1" t="s">
        <v>25</v>
      </c>
      <c r="O28" s="8">
        <v>10000</v>
      </c>
    </row>
    <row r="29" spans="1:15" ht="15.7" customHeight="1" x14ac:dyDescent="0.3">
      <c r="A29" s="1" t="s">
        <v>100</v>
      </c>
      <c r="B29" s="1" t="s">
        <v>101</v>
      </c>
      <c r="C29" s="1" t="s">
        <v>41</v>
      </c>
      <c r="D29" s="1" t="s">
        <v>18</v>
      </c>
      <c r="E29" s="1" t="s">
        <v>853</v>
      </c>
      <c r="F29" s="1" t="s">
        <v>29</v>
      </c>
      <c r="G29" s="2">
        <v>45442</v>
      </c>
      <c r="H29" s="2">
        <v>45262</v>
      </c>
      <c r="I29" s="1" t="s">
        <v>20</v>
      </c>
      <c r="J29" s="1" t="s">
        <v>35</v>
      </c>
      <c r="K29" s="1" t="s">
        <v>54</v>
      </c>
      <c r="L29" s="1" t="s">
        <v>43</v>
      </c>
      <c r="M29" s="1" t="s">
        <v>44</v>
      </c>
      <c r="N29" s="1" t="s">
        <v>25</v>
      </c>
      <c r="O29" s="8">
        <v>10000</v>
      </c>
    </row>
    <row r="30" spans="1:15" ht="15.7" customHeight="1" x14ac:dyDescent="0.3">
      <c r="A30" s="1" t="s">
        <v>102</v>
      </c>
      <c r="B30" s="1" t="s">
        <v>103</v>
      </c>
      <c r="C30" s="1" t="s">
        <v>41</v>
      </c>
      <c r="D30" s="1" t="s">
        <v>18</v>
      </c>
      <c r="E30" s="1" t="s">
        <v>854</v>
      </c>
      <c r="F30" s="1" t="s">
        <v>29</v>
      </c>
      <c r="G30" s="2">
        <v>45449</v>
      </c>
      <c r="H30" s="2">
        <v>45269</v>
      </c>
      <c r="I30" s="1" t="s">
        <v>20</v>
      </c>
      <c r="J30" s="1" t="s">
        <v>21</v>
      </c>
      <c r="K30" s="1" t="s">
        <v>30</v>
      </c>
      <c r="L30" s="1" t="s">
        <v>23</v>
      </c>
      <c r="M30" s="1" t="s">
        <v>24</v>
      </c>
      <c r="N30" s="1" t="s">
        <v>25</v>
      </c>
      <c r="O30" s="8">
        <v>5000</v>
      </c>
    </row>
    <row r="31" spans="1:15" ht="15.7" customHeight="1" x14ac:dyDescent="0.3">
      <c r="A31" s="1" t="s">
        <v>104</v>
      </c>
      <c r="B31" s="1" t="s">
        <v>105</v>
      </c>
      <c r="C31" s="1" t="s">
        <v>34</v>
      </c>
      <c r="D31" s="1" t="s">
        <v>18</v>
      </c>
      <c r="E31" s="1" t="s">
        <v>853</v>
      </c>
      <c r="F31" s="1" t="s">
        <v>29</v>
      </c>
      <c r="G31" s="2">
        <v>45450</v>
      </c>
      <c r="H31" s="2">
        <v>45270</v>
      </c>
      <c r="I31" s="1" t="s">
        <v>20</v>
      </c>
      <c r="J31" s="1" t="s">
        <v>21</v>
      </c>
      <c r="K31" s="1" t="s">
        <v>22</v>
      </c>
      <c r="L31" s="1" t="s">
        <v>23</v>
      </c>
      <c r="M31" s="1" t="s">
        <v>24</v>
      </c>
      <c r="N31" s="1" t="s">
        <v>25</v>
      </c>
      <c r="O31" s="8">
        <v>10000</v>
      </c>
    </row>
    <row r="32" spans="1:15" ht="15.7" customHeight="1" x14ac:dyDescent="0.3">
      <c r="A32" s="1" t="s">
        <v>106</v>
      </c>
      <c r="B32" s="1" t="s">
        <v>107</v>
      </c>
      <c r="C32" s="1" t="s">
        <v>34</v>
      </c>
      <c r="D32" s="1" t="s">
        <v>18</v>
      </c>
      <c r="E32" s="1" t="s">
        <v>855</v>
      </c>
      <c r="F32" s="1" t="s">
        <v>29</v>
      </c>
      <c r="G32" s="2">
        <v>45450</v>
      </c>
      <c r="H32" s="2">
        <v>45270</v>
      </c>
      <c r="I32" s="1" t="s">
        <v>20</v>
      </c>
      <c r="J32" s="1" t="s">
        <v>21</v>
      </c>
      <c r="K32" s="1" t="s">
        <v>54</v>
      </c>
      <c r="L32" s="1" t="s">
        <v>91</v>
      </c>
      <c r="M32" s="1" t="s">
        <v>44</v>
      </c>
      <c r="N32" s="1" t="s">
        <v>25</v>
      </c>
      <c r="O32" s="8">
        <v>6211</v>
      </c>
    </row>
    <row r="33" spans="1:15" ht="15.7" customHeight="1" x14ac:dyDescent="0.3">
      <c r="A33" s="1" t="s">
        <v>108</v>
      </c>
      <c r="B33" s="1" t="s">
        <v>109</v>
      </c>
      <c r="C33" s="1" t="s">
        <v>34</v>
      </c>
      <c r="D33" s="1" t="s">
        <v>18</v>
      </c>
      <c r="E33" s="1" t="s">
        <v>855</v>
      </c>
      <c r="F33" s="1" t="s">
        <v>29</v>
      </c>
      <c r="G33" s="2">
        <v>45450</v>
      </c>
      <c r="H33" s="2">
        <v>45270</v>
      </c>
      <c r="I33" s="1" t="s">
        <v>20</v>
      </c>
      <c r="J33" s="1" t="s">
        <v>21</v>
      </c>
      <c r="K33" s="1" t="s">
        <v>110</v>
      </c>
      <c r="L33" s="1" t="s">
        <v>111</v>
      </c>
      <c r="M33" s="1" t="s">
        <v>44</v>
      </c>
      <c r="N33" s="1" t="s">
        <v>25</v>
      </c>
      <c r="O33" s="8">
        <v>36352</v>
      </c>
    </row>
    <row r="34" spans="1:15" ht="15.7" customHeight="1" x14ac:dyDescent="0.3">
      <c r="A34" s="1" t="s">
        <v>112</v>
      </c>
      <c r="B34" s="1" t="s">
        <v>113</v>
      </c>
      <c r="C34" s="1" t="s">
        <v>34</v>
      </c>
      <c r="D34" s="1" t="s">
        <v>18</v>
      </c>
      <c r="E34" s="1" t="s">
        <v>855</v>
      </c>
      <c r="F34" s="1" t="s">
        <v>29</v>
      </c>
      <c r="G34" s="2">
        <v>45450</v>
      </c>
      <c r="H34" s="2">
        <v>45270</v>
      </c>
      <c r="I34" s="1" t="s">
        <v>20</v>
      </c>
      <c r="J34" s="1" t="s">
        <v>21</v>
      </c>
      <c r="K34" s="1" t="s">
        <v>110</v>
      </c>
      <c r="L34" s="1" t="s">
        <v>114</v>
      </c>
      <c r="M34" s="1" t="s">
        <v>24</v>
      </c>
      <c r="N34" s="1" t="s">
        <v>25</v>
      </c>
      <c r="O34" s="8">
        <v>2581</v>
      </c>
    </row>
    <row r="35" spans="1:15" ht="15.7" customHeight="1" x14ac:dyDescent="0.3">
      <c r="A35" s="1" t="s">
        <v>115</v>
      </c>
      <c r="B35" s="1" t="s">
        <v>116</v>
      </c>
      <c r="C35" s="1" t="s">
        <v>34</v>
      </c>
      <c r="D35" s="1" t="s">
        <v>18</v>
      </c>
      <c r="E35" s="1" t="s">
        <v>855</v>
      </c>
      <c r="F35" s="1" t="s">
        <v>29</v>
      </c>
      <c r="G35" s="2">
        <v>45450</v>
      </c>
      <c r="H35" s="2">
        <v>45270</v>
      </c>
      <c r="I35" s="1" t="s">
        <v>20</v>
      </c>
      <c r="J35" s="1" t="s">
        <v>21</v>
      </c>
      <c r="K35" s="1" t="s">
        <v>22</v>
      </c>
      <c r="L35" s="1" t="s">
        <v>91</v>
      </c>
      <c r="M35" s="1" t="s">
        <v>44</v>
      </c>
      <c r="N35" s="1" t="s">
        <v>25</v>
      </c>
      <c r="O35" s="8">
        <v>2365</v>
      </c>
    </row>
    <row r="36" spans="1:15" ht="15.7" customHeight="1" x14ac:dyDescent="0.3">
      <c r="A36" s="1" t="s">
        <v>117</v>
      </c>
      <c r="B36" s="1" t="s">
        <v>118</v>
      </c>
      <c r="C36" s="1" t="s">
        <v>34</v>
      </c>
      <c r="D36" s="1" t="s">
        <v>18</v>
      </c>
      <c r="E36" s="1" t="s">
        <v>855</v>
      </c>
      <c r="F36" s="1" t="s">
        <v>29</v>
      </c>
      <c r="G36" s="2">
        <v>45450</v>
      </c>
      <c r="H36" s="2">
        <v>45270</v>
      </c>
      <c r="I36" s="1" t="s">
        <v>20</v>
      </c>
      <c r="J36" s="1" t="s">
        <v>35</v>
      </c>
      <c r="K36" s="1" t="s">
        <v>22</v>
      </c>
      <c r="L36" s="1" t="s">
        <v>119</v>
      </c>
      <c r="M36" s="1" t="s">
        <v>44</v>
      </c>
      <c r="N36" s="1" t="s">
        <v>25</v>
      </c>
      <c r="O36" s="8">
        <v>10000</v>
      </c>
    </row>
    <row r="37" spans="1:15" ht="15.7" customHeight="1" x14ac:dyDescent="0.3">
      <c r="A37" s="1" t="s">
        <v>120</v>
      </c>
      <c r="B37" s="1" t="s">
        <v>121</v>
      </c>
      <c r="C37" s="1" t="s">
        <v>17</v>
      </c>
      <c r="D37" s="1" t="s">
        <v>18</v>
      </c>
      <c r="E37" s="1" t="s">
        <v>855</v>
      </c>
      <c r="F37" s="1" t="s">
        <v>29</v>
      </c>
      <c r="G37" s="2">
        <v>45450</v>
      </c>
      <c r="H37" s="2">
        <v>45270</v>
      </c>
      <c r="I37" s="1" t="s">
        <v>20</v>
      </c>
      <c r="J37" s="1" t="s">
        <v>21</v>
      </c>
      <c r="K37" s="1" t="s">
        <v>22</v>
      </c>
      <c r="L37" s="1" t="s">
        <v>23</v>
      </c>
      <c r="M37" s="1" t="s">
        <v>24</v>
      </c>
      <c r="N37" s="1" t="s">
        <v>25</v>
      </c>
      <c r="O37" s="8">
        <v>10000</v>
      </c>
    </row>
    <row r="38" spans="1:15" ht="15.7" customHeight="1" x14ac:dyDescent="0.3">
      <c r="A38" s="1" t="s">
        <v>122</v>
      </c>
      <c r="B38" s="1" t="s">
        <v>123</v>
      </c>
      <c r="C38" s="1" t="s">
        <v>34</v>
      </c>
      <c r="D38" s="1" t="s">
        <v>18</v>
      </c>
      <c r="E38" s="1" t="s">
        <v>855</v>
      </c>
      <c r="F38" s="1" t="s">
        <v>29</v>
      </c>
      <c r="G38" s="2">
        <v>45450</v>
      </c>
      <c r="H38" s="2">
        <v>45270</v>
      </c>
      <c r="I38" s="1" t="s">
        <v>20</v>
      </c>
      <c r="J38" s="1" t="s">
        <v>21</v>
      </c>
      <c r="K38" s="1" t="s">
        <v>110</v>
      </c>
      <c r="L38" s="1" t="s">
        <v>23</v>
      </c>
      <c r="M38" s="1" t="s">
        <v>24</v>
      </c>
      <c r="N38" s="1" t="s">
        <v>25</v>
      </c>
      <c r="O38" s="8">
        <v>16554</v>
      </c>
    </row>
    <row r="39" spans="1:15" ht="15.7" customHeight="1" x14ac:dyDescent="0.3">
      <c r="A39" s="1" t="s">
        <v>124</v>
      </c>
      <c r="B39" s="1" t="s">
        <v>125</v>
      </c>
      <c r="C39" s="1" t="s">
        <v>34</v>
      </c>
      <c r="D39" s="1" t="s">
        <v>18</v>
      </c>
      <c r="E39" s="1" t="s">
        <v>855</v>
      </c>
      <c r="F39" s="1" t="s">
        <v>29</v>
      </c>
      <c r="G39" s="2">
        <v>45450</v>
      </c>
      <c r="H39" s="2">
        <v>45270</v>
      </c>
      <c r="I39" s="1" t="s">
        <v>20</v>
      </c>
      <c r="J39" s="1" t="s">
        <v>21</v>
      </c>
      <c r="K39" s="1" t="s">
        <v>54</v>
      </c>
      <c r="L39" s="1" t="s">
        <v>23</v>
      </c>
      <c r="M39" s="1" t="s">
        <v>24</v>
      </c>
      <c r="N39" s="1" t="s">
        <v>25</v>
      </c>
      <c r="O39" s="8">
        <v>10000</v>
      </c>
    </row>
    <row r="40" spans="1:15" ht="15.7" customHeight="1" x14ac:dyDescent="0.3">
      <c r="A40" s="1" t="s">
        <v>126</v>
      </c>
      <c r="B40" s="1" t="s">
        <v>127</v>
      </c>
      <c r="C40" s="1" t="s">
        <v>34</v>
      </c>
      <c r="D40" s="1" t="s">
        <v>18</v>
      </c>
      <c r="E40" s="1" t="s">
        <v>855</v>
      </c>
      <c r="F40" s="1" t="s">
        <v>29</v>
      </c>
      <c r="G40" s="2">
        <v>45450</v>
      </c>
      <c r="H40" s="2">
        <v>45270</v>
      </c>
      <c r="I40" s="1" t="s">
        <v>20</v>
      </c>
      <c r="J40" s="1" t="s">
        <v>35</v>
      </c>
      <c r="K40" s="1" t="s">
        <v>30</v>
      </c>
      <c r="L40" s="1" t="s">
        <v>23</v>
      </c>
      <c r="M40" s="1" t="s">
        <v>24</v>
      </c>
      <c r="N40" s="1" t="s">
        <v>25</v>
      </c>
      <c r="O40" s="8">
        <v>10000</v>
      </c>
    </row>
    <row r="41" spans="1:15" ht="15.7" customHeight="1" x14ac:dyDescent="0.3">
      <c r="A41" s="1" t="s">
        <v>128</v>
      </c>
      <c r="B41" s="1" t="s">
        <v>129</v>
      </c>
      <c r="C41" s="1" t="s">
        <v>34</v>
      </c>
      <c r="D41" s="1" t="s">
        <v>18</v>
      </c>
      <c r="E41" s="1" t="s">
        <v>855</v>
      </c>
      <c r="F41" s="1" t="s">
        <v>29</v>
      </c>
      <c r="G41" s="2">
        <v>45450</v>
      </c>
      <c r="H41" s="2">
        <v>45270</v>
      </c>
      <c r="I41" s="1" t="s">
        <v>20</v>
      </c>
      <c r="J41" s="1" t="s">
        <v>35</v>
      </c>
      <c r="K41" s="1" t="s">
        <v>22</v>
      </c>
      <c r="L41" s="1" t="s">
        <v>23</v>
      </c>
      <c r="M41" s="1" t="s">
        <v>24</v>
      </c>
      <c r="N41" s="1" t="s">
        <v>25</v>
      </c>
      <c r="O41" s="8">
        <v>10000</v>
      </c>
    </row>
    <row r="42" spans="1:15" ht="15.7" customHeight="1" x14ac:dyDescent="0.3">
      <c r="A42" s="1" t="s">
        <v>130</v>
      </c>
      <c r="B42" s="1" t="s">
        <v>131</v>
      </c>
      <c r="C42" s="1" t="s">
        <v>41</v>
      </c>
      <c r="D42" s="1" t="s">
        <v>18</v>
      </c>
      <c r="E42" s="1" t="s">
        <v>855</v>
      </c>
      <c r="F42" s="1" t="s">
        <v>29</v>
      </c>
      <c r="G42" s="2">
        <v>45450</v>
      </c>
      <c r="H42" s="2">
        <v>45270</v>
      </c>
      <c r="I42" s="1" t="s">
        <v>76</v>
      </c>
      <c r="J42" s="1" t="s">
        <v>35</v>
      </c>
      <c r="K42" s="1" t="s">
        <v>30</v>
      </c>
      <c r="L42" s="1" t="s">
        <v>23</v>
      </c>
      <c r="M42" s="1" t="s">
        <v>24</v>
      </c>
      <c r="N42" s="1" t="s">
        <v>25</v>
      </c>
      <c r="O42" s="8">
        <v>165146</v>
      </c>
    </row>
    <row r="43" spans="1:15" ht="15.7" customHeight="1" x14ac:dyDescent="0.3">
      <c r="A43" s="1" t="s">
        <v>132</v>
      </c>
      <c r="B43" s="1" t="s">
        <v>133</v>
      </c>
      <c r="C43" s="1" t="s">
        <v>17</v>
      </c>
      <c r="D43" s="1" t="s">
        <v>18</v>
      </c>
      <c r="E43" s="1" t="s">
        <v>855</v>
      </c>
      <c r="F43" s="1" t="s">
        <v>29</v>
      </c>
      <c r="G43" s="2">
        <v>45450</v>
      </c>
      <c r="H43" s="2">
        <v>45270</v>
      </c>
      <c r="I43" s="1" t="s">
        <v>20</v>
      </c>
      <c r="J43" s="1" t="s">
        <v>21</v>
      </c>
      <c r="K43" s="1" t="s">
        <v>36</v>
      </c>
      <c r="L43" s="1" t="s">
        <v>91</v>
      </c>
      <c r="M43" s="1" t="s">
        <v>44</v>
      </c>
      <c r="N43" s="1" t="s">
        <v>25</v>
      </c>
      <c r="O43" s="8">
        <v>10000</v>
      </c>
    </row>
    <row r="44" spans="1:15" ht="15.7" customHeight="1" x14ac:dyDescent="0.3">
      <c r="A44" s="1" t="s">
        <v>134</v>
      </c>
      <c r="B44" s="1" t="s">
        <v>135</v>
      </c>
      <c r="C44" s="1" t="s">
        <v>17</v>
      </c>
      <c r="D44" s="1" t="s">
        <v>18</v>
      </c>
      <c r="E44" s="1" t="s">
        <v>855</v>
      </c>
      <c r="F44" s="1" t="s">
        <v>29</v>
      </c>
      <c r="G44" s="2">
        <v>45450</v>
      </c>
      <c r="H44" s="2">
        <v>45270</v>
      </c>
      <c r="I44" s="1" t="s">
        <v>20</v>
      </c>
      <c r="J44" s="1" t="s">
        <v>21</v>
      </c>
      <c r="K44" s="1" t="s">
        <v>136</v>
      </c>
      <c r="L44" s="1" t="s">
        <v>23</v>
      </c>
      <c r="M44" s="1" t="s">
        <v>24</v>
      </c>
      <c r="N44" s="1" t="s">
        <v>25</v>
      </c>
      <c r="O44" s="8">
        <v>10000</v>
      </c>
    </row>
    <row r="45" spans="1:15" ht="15.7" customHeight="1" x14ac:dyDescent="0.3">
      <c r="A45" s="1" t="s">
        <v>137</v>
      </c>
      <c r="B45" s="1" t="s">
        <v>138</v>
      </c>
      <c r="C45" s="1" t="s">
        <v>17</v>
      </c>
      <c r="D45" s="1" t="s">
        <v>18</v>
      </c>
      <c r="E45" s="1" t="s">
        <v>855</v>
      </c>
      <c r="F45" s="1" t="s">
        <v>29</v>
      </c>
      <c r="G45" s="2">
        <v>45450</v>
      </c>
      <c r="H45" s="2">
        <v>45270</v>
      </c>
      <c r="I45" s="1" t="s">
        <v>20</v>
      </c>
      <c r="J45" s="1" t="s">
        <v>21</v>
      </c>
      <c r="K45" s="1" t="s">
        <v>22</v>
      </c>
      <c r="L45" s="1" t="s">
        <v>23</v>
      </c>
      <c r="M45" s="1" t="s">
        <v>24</v>
      </c>
      <c r="N45" s="1" t="s">
        <v>25</v>
      </c>
      <c r="O45" s="8">
        <v>215</v>
      </c>
    </row>
    <row r="46" spans="1:15" ht="15.7" customHeight="1" x14ac:dyDescent="0.3">
      <c r="A46" s="1" t="s">
        <v>139</v>
      </c>
      <c r="B46" s="1" t="s">
        <v>140</v>
      </c>
      <c r="C46" s="1" t="s">
        <v>34</v>
      </c>
      <c r="D46" s="1" t="s">
        <v>18</v>
      </c>
      <c r="E46" s="1" t="s">
        <v>855</v>
      </c>
      <c r="F46" s="1" t="s">
        <v>29</v>
      </c>
      <c r="G46" s="2">
        <v>45450</v>
      </c>
      <c r="H46" s="2">
        <v>45270</v>
      </c>
      <c r="I46" s="1" t="s">
        <v>20</v>
      </c>
      <c r="J46" s="1" t="s">
        <v>21</v>
      </c>
      <c r="K46" s="1" t="s">
        <v>36</v>
      </c>
      <c r="L46" s="1" t="s">
        <v>23</v>
      </c>
      <c r="M46" s="1" t="s">
        <v>24</v>
      </c>
      <c r="N46" s="1" t="s">
        <v>25</v>
      </c>
      <c r="O46" s="8">
        <v>10000</v>
      </c>
    </row>
    <row r="47" spans="1:15" ht="15.7" customHeight="1" x14ac:dyDescent="0.3">
      <c r="A47" s="1" t="s">
        <v>141</v>
      </c>
      <c r="B47" s="1" t="s">
        <v>142</v>
      </c>
      <c r="C47" s="1" t="s">
        <v>34</v>
      </c>
      <c r="D47" s="1" t="s">
        <v>18</v>
      </c>
      <c r="E47" s="1" t="s">
        <v>855</v>
      </c>
      <c r="F47" s="1" t="s">
        <v>29</v>
      </c>
      <c r="G47" s="2">
        <v>45450</v>
      </c>
      <c r="H47" s="2">
        <v>45270</v>
      </c>
      <c r="I47" s="1" t="s">
        <v>76</v>
      </c>
      <c r="J47" s="1" t="s">
        <v>21</v>
      </c>
      <c r="K47" s="1" t="s">
        <v>143</v>
      </c>
      <c r="L47" s="1" t="s">
        <v>91</v>
      </c>
      <c r="M47" s="1" t="s">
        <v>44</v>
      </c>
      <c r="N47" s="1" t="s">
        <v>25</v>
      </c>
      <c r="O47" s="8">
        <v>10000</v>
      </c>
    </row>
    <row r="48" spans="1:15" ht="15.7" customHeight="1" x14ac:dyDescent="0.3">
      <c r="A48" s="1" t="s">
        <v>144</v>
      </c>
      <c r="B48" s="1" t="s">
        <v>145</v>
      </c>
      <c r="C48" s="1" t="s">
        <v>34</v>
      </c>
      <c r="D48" s="1" t="s">
        <v>18</v>
      </c>
      <c r="E48" s="1" t="s">
        <v>855</v>
      </c>
      <c r="F48" s="1" t="s">
        <v>29</v>
      </c>
      <c r="G48" s="2">
        <v>45450</v>
      </c>
      <c r="H48" s="2">
        <v>45270</v>
      </c>
      <c r="I48" s="1" t="s">
        <v>20</v>
      </c>
      <c r="J48" s="1" t="s">
        <v>21</v>
      </c>
      <c r="K48" s="1" t="s">
        <v>22</v>
      </c>
      <c r="L48" s="1" t="s">
        <v>65</v>
      </c>
      <c r="M48" s="1" t="s">
        <v>277</v>
      </c>
      <c r="N48" s="1" t="s">
        <v>25</v>
      </c>
      <c r="O48" s="8">
        <v>16365</v>
      </c>
    </row>
    <row r="49" spans="1:15" ht="15.7" customHeight="1" x14ac:dyDescent="0.3">
      <c r="A49" s="1" t="s">
        <v>146</v>
      </c>
      <c r="B49" s="1" t="s">
        <v>147</v>
      </c>
      <c r="C49" s="1" t="s">
        <v>34</v>
      </c>
      <c r="D49" s="1" t="s">
        <v>18</v>
      </c>
      <c r="E49" s="1" t="s">
        <v>855</v>
      </c>
      <c r="F49" s="1" t="s">
        <v>29</v>
      </c>
      <c r="G49" s="2">
        <v>45450</v>
      </c>
      <c r="H49" s="2">
        <v>45270</v>
      </c>
      <c r="I49" s="1" t="s">
        <v>76</v>
      </c>
      <c r="J49" s="1" t="s">
        <v>21</v>
      </c>
      <c r="K49" s="1" t="s">
        <v>22</v>
      </c>
      <c r="L49" s="1" t="s">
        <v>119</v>
      </c>
      <c r="M49" s="1" t="s">
        <v>44</v>
      </c>
      <c r="N49" s="1" t="s">
        <v>25</v>
      </c>
      <c r="O49" s="8">
        <v>10000</v>
      </c>
    </row>
    <row r="50" spans="1:15" ht="15.7" customHeight="1" x14ac:dyDescent="0.3">
      <c r="A50" s="1" t="s">
        <v>148</v>
      </c>
      <c r="B50" s="1" t="s">
        <v>149</v>
      </c>
      <c r="C50" s="1" t="s">
        <v>34</v>
      </c>
      <c r="D50" s="1" t="s">
        <v>18</v>
      </c>
      <c r="E50" s="1" t="s">
        <v>855</v>
      </c>
      <c r="F50" s="1" t="s">
        <v>29</v>
      </c>
      <c r="G50" s="2">
        <v>45450</v>
      </c>
      <c r="H50" s="2">
        <v>45270</v>
      </c>
      <c r="I50" s="1" t="s">
        <v>20</v>
      </c>
      <c r="J50" s="1" t="s">
        <v>21</v>
      </c>
      <c r="K50" s="1" t="s">
        <v>110</v>
      </c>
      <c r="L50" s="1" t="s">
        <v>23</v>
      </c>
      <c r="M50" s="1" t="s">
        <v>24</v>
      </c>
      <c r="N50" s="1" t="s">
        <v>25</v>
      </c>
      <c r="O50" s="8">
        <v>10000</v>
      </c>
    </row>
    <row r="51" spans="1:15" ht="15.7" customHeight="1" x14ac:dyDescent="0.3">
      <c r="A51" s="1" t="s">
        <v>150</v>
      </c>
      <c r="B51" s="1" t="s">
        <v>151</v>
      </c>
      <c r="C51" s="1" t="s">
        <v>34</v>
      </c>
      <c r="D51" s="1" t="s">
        <v>18</v>
      </c>
      <c r="E51" s="1" t="s">
        <v>855</v>
      </c>
      <c r="F51" s="1" t="s">
        <v>29</v>
      </c>
      <c r="G51" s="2">
        <v>45450</v>
      </c>
      <c r="H51" s="2">
        <v>45270</v>
      </c>
      <c r="I51" s="1" t="s">
        <v>76</v>
      </c>
      <c r="J51" s="1" t="s">
        <v>21</v>
      </c>
      <c r="K51" s="1" t="s">
        <v>36</v>
      </c>
      <c r="L51" s="1" t="s">
        <v>91</v>
      </c>
      <c r="M51" s="1" t="s">
        <v>44</v>
      </c>
      <c r="N51" s="1" t="s">
        <v>25</v>
      </c>
      <c r="O51" s="8">
        <v>1636</v>
      </c>
    </row>
    <row r="52" spans="1:15" ht="15.7" customHeight="1" x14ac:dyDescent="0.3">
      <c r="A52" s="1" t="s">
        <v>152</v>
      </c>
      <c r="B52" s="1" t="s">
        <v>153</v>
      </c>
      <c r="C52" s="1" t="s">
        <v>34</v>
      </c>
      <c r="D52" s="1" t="s">
        <v>18</v>
      </c>
      <c r="E52" s="1" t="s">
        <v>855</v>
      </c>
      <c r="F52" s="1" t="s">
        <v>29</v>
      </c>
      <c r="G52" s="2">
        <v>45450</v>
      </c>
      <c r="H52" s="2">
        <v>45270</v>
      </c>
      <c r="I52" s="1" t="s">
        <v>76</v>
      </c>
      <c r="J52" s="1" t="s">
        <v>21</v>
      </c>
      <c r="K52" s="1" t="s">
        <v>36</v>
      </c>
      <c r="L52" s="1" t="s">
        <v>23</v>
      </c>
      <c r="M52" s="1" t="s">
        <v>24</v>
      </c>
      <c r="N52" s="1" t="s">
        <v>25</v>
      </c>
      <c r="O52" s="8">
        <v>10000</v>
      </c>
    </row>
    <row r="53" spans="1:15" ht="15.7" customHeight="1" x14ac:dyDescent="0.3">
      <c r="A53" s="1" t="s">
        <v>154</v>
      </c>
      <c r="B53" s="1" t="s">
        <v>155</v>
      </c>
      <c r="C53" s="1" t="s">
        <v>17</v>
      </c>
      <c r="D53" s="1" t="s">
        <v>18</v>
      </c>
      <c r="E53" s="1" t="s">
        <v>855</v>
      </c>
      <c r="F53" s="1" t="s">
        <v>29</v>
      </c>
      <c r="G53" s="2">
        <v>45450</v>
      </c>
      <c r="H53" s="2">
        <v>45270</v>
      </c>
      <c r="I53" s="1" t="s">
        <v>76</v>
      </c>
      <c r="J53" s="1" t="s">
        <v>21</v>
      </c>
      <c r="K53" s="1" t="s">
        <v>36</v>
      </c>
      <c r="L53" s="1" t="s">
        <v>23</v>
      </c>
      <c r="M53" s="1" t="s">
        <v>24</v>
      </c>
      <c r="N53" s="1" t="s">
        <v>25</v>
      </c>
      <c r="O53" s="8">
        <v>10000</v>
      </c>
    </row>
    <row r="54" spans="1:15" ht="15.7" customHeight="1" x14ac:dyDescent="0.3">
      <c r="A54" s="1" t="s">
        <v>156</v>
      </c>
      <c r="B54" s="1" t="s">
        <v>157</v>
      </c>
      <c r="C54" s="1" t="s">
        <v>34</v>
      </c>
      <c r="D54" s="1" t="s">
        <v>18</v>
      </c>
      <c r="E54" s="1" t="s">
        <v>855</v>
      </c>
      <c r="F54" s="1" t="s">
        <v>29</v>
      </c>
      <c r="G54" s="2">
        <v>45450</v>
      </c>
      <c r="H54" s="2">
        <v>45270</v>
      </c>
      <c r="I54" s="1" t="s">
        <v>76</v>
      </c>
      <c r="J54" s="1" t="s">
        <v>21</v>
      </c>
      <c r="K54" s="1" t="s">
        <v>36</v>
      </c>
      <c r="L54" s="1" t="s">
        <v>91</v>
      </c>
      <c r="M54" s="1" t="s">
        <v>44</v>
      </c>
      <c r="N54" s="1" t="s">
        <v>25</v>
      </c>
      <c r="O54" s="8">
        <v>2163263</v>
      </c>
    </row>
    <row r="55" spans="1:15" ht="15.7" customHeight="1" x14ac:dyDescent="0.3">
      <c r="A55" s="1" t="s">
        <v>158</v>
      </c>
      <c r="B55" s="1" t="s">
        <v>159</v>
      </c>
      <c r="C55" s="1" t="s">
        <v>34</v>
      </c>
      <c r="D55" s="1" t="s">
        <v>18</v>
      </c>
      <c r="E55" s="1" t="s">
        <v>855</v>
      </c>
      <c r="F55" s="1" t="s">
        <v>29</v>
      </c>
      <c r="G55" s="2">
        <v>45450</v>
      </c>
      <c r="H55" s="2">
        <v>45270</v>
      </c>
      <c r="I55" s="1" t="s">
        <v>76</v>
      </c>
      <c r="J55" s="1" t="s">
        <v>35</v>
      </c>
      <c r="K55" s="1" t="s">
        <v>22</v>
      </c>
      <c r="L55" s="1" t="s">
        <v>23</v>
      </c>
      <c r="M55" s="1" t="s">
        <v>24</v>
      </c>
      <c r="N55" s="1" t="s">
        <v>25</v>
      </c>
      <c r="O55" s="8">
        <v>10000</v>
      </c>
    </row>
    <row r="56" spans="1:15" ht="15.7" customHeight="1" x14ac:dyDescent="0.3">
      <c r="A56" s="1" t="s">
        <v>160</v>
      </c>
      <c r="B56" s="1" t="s">
        <v>161</v>
      </c>
      <c r="C56" s="1" t="s">
        <v>34</v>
      </c>
      <c r="D56" s="1" t="s">
        <v>18</v>
      </c>
      <c r="E56" s="1" t="s">
        <v>855</v>
      </c>
      <c r="F56" s="1" t="s">
        <v>29</v>
      </c>
      <c r="G56" s="2">
        <v>45450</v>
      </c>
      <c r="H56" s="2">
        <v>45270</v>
      </c>
      <c r="I56" s="1" t="s">
        <v>76</v>
      </c>
      <c r="J56" s="1" t="s">
        <v>21</v>
      </c>
      <c r="K56" s="1" t="s">
        <v>30</v>
      </c>
      <c r="L56" s="1" t="s">
        <v>23</v>
      </c>
      <c r="M56" s="1" t="s">
        <v>24</v>
      </c>
      <c r="N56" s="1" t="s">
        <v>25</v>
      </c>
      <c r="O56" s="8">
        <v>10000</v>
      </c>
    </row>
    <row r="57" spans="1:15" ht="15.7" customHeight="1" x14ac:dyDescent="0.3">
      <c r="A57" s="1" t="s">
        <v>162</v>
      </c>
      <c r="B57" s="1" t="s">
        <v>163</v>
      </c>
      <c r="C57" s="1" t="s">
        <v>34</v>
      </c>
      <c r="D57" s="1" t="s">
        <v>164</v>
      </c>
      <c r="E57" s="1" t="s">
        <v>855</v>
      </c>
      <c r="F57" s="1" t="s">
        <v>29</v>
      </c>
      <c r="G57" s="2">
        <v>45450</v>
      </c>
      <c r="H57" s="2">
        <v>45270</v>
      </c>
      <c r="I57" s="1" t="s">
        <v>76</v>
      </c>
      <c r="J57" s="1" t="s">
        <v>21</v>
      </c>
      <c r="K57" s="1" t="s">
        <v>22</v>
      </c>
      <c r="L57" s="1" t="s">
        <v>23</v>
      </c>
      <c r="M57" s="1" t="s">
        <v>24</v>
      </c>
      <c r="N57" s="1" t="s">
        <v>25</v>
      </c>
      <c r="O57" s="8">
        <v>2362</v>
      </c>
    </row>
    <row r="58" spans="1:15" ht="15.7" customHeight="1" x14ac:dyDescent="0.3">
      <c r="A58" s="1" t="s">
        <v>165</v>
      </c>
      <c r="B58" s="1" t="s">
        <v>166</v>
      </c>
      <c r="C58" s="1" t="s">
        <v>41</v>
      </c>
      <c r="D58" s="1" t="s">
        <v>164</v>
      </c>
      <c r="E58" s="1" t="s">
        <v>855</v>
      </c>
      <c r="F58" s="1" t="s">
        <v>29</v>
      </c>
      <c r="G58" s="2">
        <v>45450</v>
      </c>
      <c r="H58" s="2">
        <v>45270</v>
      </c>
      <c r="I58" s="1" t="s">
        <v>76</v>
      </c>
      <c r="J58" s="1" t="s">
        <v>21</v>
      </c>
      <c r="K58" s="1" t="s">
        <v>22</v>
      </c>
      <c r="L58" s="1" t="s">
        <v>167</v>
      </c>
      <c r="M58" s="1" t="s">
        <v>857</v>
      </c>
      <c r="N58" s="1" t="s">
        <v>25</v>
      </c>
      <c r="O58" s="8">
        <v>10000</v>
      </c>
    </row>
    <row r="59" spans="1:15" ht="15.7" customHeight="1" x14ac:dyDescent="0.3">
      <c r="A59" s="1" t="s">
        <v>168</v>
      </c>
      <c r="B59" s="1" t="s">
        <v>169</v>
      </c>
      <c r="C59" s="1" t="s">
        <v>34</v>
      </c>
      <c r="D59" s="1" t="s">
        <v>170</v>
      </c>
      <c r="E59" s="1" t="s">
        <v>855</v>
      </c>
      <c r="F59" s="1" t="s">
        <v>29</v>
      </c>
      <c r="G59" s="2">
        <v>45450</v>
      </c>
      <c r="H59" s="2">
        <v>45270</v>
      </c>
      <c r="I59" s="1" t="s">
        <v>76</v>
      </c>
      <c r="J59" s="1" t="s">
        <v>35</v>
      </c>
      <c r="K59" s="1" t="s">
        <v>30</v>
      </c>
      <c r="L59" s="1" t="s">
        <v>23</v>
      </c>
      <c r="M59" s="1" t="s">
        <v>24</v>
      </c>
      <c r="N59" s="1" t="s">
        <v>25</v>
      </c>
      <c r="O59" s="8">
        <v>10000</v>
      </c>
    </row>
    <row r="60" spans="1:15" ht="15.7" customHeight="1" x14ac:dyDescent="0.3">
      <c r="A60" s="1" t="s">
        <v>171</v>
      </c>
      <c r="B60" s="1" t="s">
        <v>172</v>
      </c>
      <c r="C60" s="1" t="s">
        <v>17</v>
      </c>
      <c r="D60" s="1" t="s">
        <v>170</v>
      </c>
      <c r="E60" s="1" t="s">
        <v>855</v>
      </c>
      <c r="F60" s="1" t="s">
        <v>29</v>
      </c>
      <c r="G60" s="2">
        <v>45450</v>
      </c>
      <c r="H60" s="2">
        <v>45270</v>
      </c>
      <c r="I60" s="1" t="s">
        <v>76</v>
      </c>
      <c r="J60" s="1" t="s">
        <v>35</v>
      </c>
      <c r="K60" s="1" t="s">
        <v>30</v>
      </c>
      <c r="L60" s="1" t="s">
        <v>23</v>
      </c>
      <c r="M60" s="1" t="s">
        <v>24</v>
      </c>
      <c r="N60" s="1" t="s">
        <v>25</v>
      </c>
      <c r="O60" s="8">
        <v>132</v>
      </c>
    </row>
    <row r="61" spans="1:15" ht="15.7" customHeight="1" x14ac:dyDescent="0.3">
      <c r="A61" s="1" t="s">
        <v>173</v>
      </c>
      <c r="B61" s="1" t="s">
        <v>174</v>
      </c>
      <c r="C61" s="1" t="s">
        <v>17</v>
      </c>
      <c r="D61" s="1" t="s">
        <v>856</v>
      </c>
      <c r="E61" s="1" t="s">
        <v>855</v>
      </c>
      <c r="F61" s="1" t="s">
        <v>29</v>
      </c>
      <c r="G61" s="2">
        <v>45450</v>
      </c>
      <c r="H61" s="2">
        <v>45270</v>
      </c>
      <c r="I61" s="1" t="s">
        <v>20</v>
      </c>
      <c r="J61" s="1" t="s">
        <v>21</v>
      </c>
      <c r="K61" s="1" t="s">
        <v>30</v>
      </c>
      <c r="L61" s="1" t="s">
        <v>23</v>
      </c>
      <c r="M61" s="1" t="s">
        <v>24</v>
      </c>
      <c r="N61" s="1" t="s">
        <v>25</v>
      </c>
      <c r="O61" s="8">
        <v>10000</v>
      </c>
    </row>
    <row r="62" spans="1:15" ht="15.7" customHeight="1" x14ac:dyDescent="0.3">
      <c r="A62" s="1" t="s">
        <v>175</v>
      </c>
      <c r="B62" s="1" t="s">
        <v>176</v>
      </c>
      <c r="C62" s="1" t="s">
        <v>34</v>
      </c>
      <c r="D62" s="1" t="s">
        <v>164</v>
      </c>
      <c r="E62" s="1" t="s">
        <v>855</v>
      </c>
      <c r="F62" s="1" t="s">
        <v>29</v>
      </c>
      <c r="G62" s="2">
        <v>45450</v>
      </c>
      <c r="H62" s="2">
        <v>45270</v>
      </c>
      <c r="I62" s="1" t="s">
        <v>20</v>
      </c>
      <c r="J62" s="1" t="s">
        <v>35</v>
      </c>
      <c r="K62" s="1" t="s">
        <v>36</v>
      </c>
      <c r="L62" s="1" t="s">
        <v>23</v>
      </c>
      <c r="M62" s="1" t="s">
        <v>24</v>
      </c>
      <c r="N62" s="1" t="s">
        <v>25</v>
      </c>
      <c r="O62" s="8">
        <v>10000</v>
      </c>
    </row>
    <row r="63" spans="1:15" ht="15.7" customHeight="1" x14ac:dyDescent="0.3">
      <c r="A63" s="1" t="s">
        <v>177</v>
      </c>
      <c r="B63" s="1" t="s">
        <v>178</v>
      </c>
      <c r="C63" s="1" t="s">
        <v>34</v>
      </c>
      <c r="D63" s="1" t="s">
        <v>164</v>
      </c>
      <c r="E63" s="1" t="s">
        <v>855</v>
      </c>
      <c r="F63" s="1" t="s">
        <v>29</v>
      </c>
      <c r="G63" s="2">
        <v>45450</v>
      </c>
      <c r="H63" s="2">
        <v>45270</v>
      </c>
      <c r="I63" s="1" t="s">
        <v>76</v>
      </c>
      <c r="J63" s="1" t="s">
        <v>21</v>
      </c>
      <c r="K63" s="1" t="s">
        <v>36</v>
      </c>
      <c r="L63" s="1" t="s">
        <v>23</v>
      </c>
      <c r="M63" s="1" t="s">
        <v>24</v>
      </c>
      <c r="N63" s="1" t="s">
        <v>25</v>
      </c>
      <c r="O63" s="8">
        <v>232</v>
      </c>
    </row>
    <row r="64" spans="1:15" ht="15.7" customHeight="1" x14ac:dyDescent="0.3">
      <c r="A64" s="1" t="s">
        <v>179</v>
      </c>
      <c r="B64" s="1" t="s">
        <v>180</v>
      </c>
      <c r="C64" s="1" t="s">
        <v>34</v>
      </c>
      <c r="D64" s="1" t="s">
        <v>164</v>
      </c>
      <c r="E64" s="1" t="s">
        <v>855</v>
      </c>
      <c r="F64" s="1" t="s">
        <v>29</v>
      </c>
      <c r="G64" s="2">
        <v>45450</v>
      </c>
      <c r="H64" s="2">
        <v>45270</v>
      </c>
      <c r="I64" s="1" t="s">
        <v>76</v>
      </c>
      <c r="J64" s="1" t="s">
        <v>21</v>
      </c>
      <c r="K64" s="1" t="s">
        <v>36</v>
      </c>
      <c r="L64" s="1" t="s">
        <v>91</v>
      </c>
      <c r="M64" s="1" t="s">
        <v>44</v>
      </c>
      <c r="N64" s="1" t="s">
        <v>25</v>
      </c>
      <c r="O64" s="8">
        <v>10000</v>
      </c>
    </row>
    <row r="65" spans="1:15" ht="15.7" customHeight="1" x14ac:dyDescent="0.3">
      <c r="A65" s="1" t="s">
        <v>181</v>
      </c>
      <c r="B65" s="1" t="s">
        <v>182</v>
      </c>
      <c r="C65" s="1" t="s">
        <v>41</v>
      </c>
      <c r="D65" s="1" t="s">
        <v>164</v>
      </c>
      <c r="E65" s="1" t="s">
        <v>855</v>
      </c>
      <c r="F65" s="1" t="s">
        <v>29</v>
      </c>
      <c r="G65" s="2">
        <v>45450</v>
      </c>
      <c r="H65" s="2">
        <v>45270</v>
      </c>
      <c r="I65" s="1" t="s">
        <v>76</v>
      </c>
      <c r="J65" s="1" t="s">
        <v>21</v>
      </c>
      <c r="K65" s="1" t="s">
        <v>110</v>
      </c>
      <c r="L65" s="1" t="s">
        <v>91</v>
      </c>
      <c r="M65" s="1" t="s">
        <v>44</v>
      </c>
      <c r="N65" s="1" t="s">
        <v>25</v>
      </c>
      <c r="O65" s="8">
        <v>10000</v>
      </c>
    </row>
    <row r="66" spans="1:15" ht="15.7" customHeight="1" x14ac:dyDescent="0.3">
      <c r="A66" s="1" t="s">
        <v>183</v>
      </c>
      <c r="B66" s="1" t="s">
        <v>184</v>
      </c>
      <c r="C66" s="1" t="s">
        <v>34</v>
      </c>
      <c r="D66" s="1" t="s">
        <v>164</v>
      </c>
      <c r="E66" s="1" t="s">
        <v>855</v>
      </c>
      <c r="F66" s="1" t="s">
        <v>29</v>
      </c>
      <c r="G66" s="2">
        <v>45450</v>
      </c>
      <c r="H66" s="2">
        <v>45270</v>
      </c>
      <c r="I66" s="1" t="s">
        <v>20</v>
      </c>
      <c r="J66" s="1" t="s">
        <v>21</v>
      </c>
      <c r="K66" s="1" t="s">
        <v>36</v>
      </c>
      <c r="L66" s="1" t="s">
        <v>185</v>
      </c>
      <c r="M66" s="1" t="s">
        <v>277</v>
      </c>
      <c r="N66" s="1" t="s">
        <v>25</v>
      </c>
      <c r="O66" s="8">
        <v>215</v>
      </c>
    </row>
    <row r="67" spans="1:15" ht="15.7" customHeight="1" x14ac:dyDescent="0.3">
      <c r="A67" s="1" t="s">
        <v>186</v>
      </c>
      <c r="B67" s="1" t="s">
        <v>187</v>
      </c>
      <c r="C67" s="1" t="s">
        <v>17</v>
      </c>
      <c r="D67" s="1" t="s">
        <v>188</v>
      </c>
      <c r="E67" s="1" t="s">
        <v>855</v>
      </c>
      <c r="F67" s="1" t="s">
        <v>29</v>
      </c>
      <c r="G67" s="2">
        <v>45450</v>
      </c>
      <c r="H67" s="2">
        <v>45270</v>
      </c>
      <c r="I67" s="1" t="s">
        <v>20</v>
      </c>
      <c r="J67" s="1" t="s">
        <v>21</v>
      </c>
      <c r="K67" s="1" t="s">
        <v>22</v>
      </c>
      <c r="L67" s="1" t="s">
        <v>23</v>
      </c>
      <c r="M67" s="1" t="s">
        <v>24</v>
      </c>
      <c r="N67" s="1" t="s">
        <v>25</v>
      </c>
      <c r="O67" s="8">
        <v>20000</v>
      </c>
    </row>
    <row r="68" spans="1:15" ht="15.7" customHeight="1" x14ac:dyDescent="0.3">
      <c r="A68" s="1" t="s">
        <v>189</v>
      </c>
      <c r="B68" s="1" t="s">
        <v>190</v>
      </c>
      <c r="C68" s="1" t="s">
        <v>17</v>
      </c>
      <c r="D68" s="1" t="s">
        <v>170</v>
      </c>
      <c r="E68" s="1" t="s">
        <v>855</v>
      </c>
      <c r="F68" s="1" t="s">
        <v>29</v>
      </c>
      <c r="G68" s="2">
        <v>45450</v>
      </c>
      <c r="H68" s="2">
        <v>45270</v>
      </c>
      <c r="I68" s="1" t="s">
        <v>20</v>
      </c>
      <c r="J68" s="1" t="s">
        <v>21</v>
      </c>
      <c r="K68" s="1" t="s">
        <v>30</v>
      </c>
      <c r="L68" s="1" t="s">
        <v>23</v>
      </c>
      <c r="M68" s="1" t="s">
        <v>24</v>
      </c>
      <c r="N68" s="1" t="s">
        <v>25</v>
      </c>
      <c r="O68" s="8">
        <v>155</v>
      </c>
    </row>
    <row r="69" spans="1:15" ht="15.7" customHeight="1" x14ac:dyDescent="0.3">
      <c r="A69" s="1" t="s">
        <v>191</v>
      </c>
      <c r="B69" s="1" t="s">
        <v>192</v>
      </c>
      <c r="C69" s="1" t="s">
        <v>17</v>
      </c>
      <c r="D69" s="1" t="s">
        <v>193</v>
      </c>
      <c r="E69" s="1" t="s">
        <v>855</v>
      </c>
      <c r="F69" s="1" t="s">
        <v>29</v>
      </c>
      <c r="G69" s="2">
        <v>45450</v>
      </c>
      <c r="H69" s="2">
        <v>45270</v>
      </c>
      <c r="I69" s="1" t="s">
        <v>20</v>
      </c>
      <c r="J69" s="1" t="s">
        <v>35</v>
      </c>
      <c r="K69" s="1" t="s">
        <v>36</v>
      </c>
      <c r="L69" s="1" t="s">
        <v>23</v>
      </c>
      <c r="M69" s="1" t="s">
        <v>24</v>
      </c>
      <c r="N69" s="1" t="s">
        <v>25</v>
      </c>
      <c r="O69" s="8">
        <v>20000</v>
      </c>
    </row>
    <row r="70" spans="1:15" ht="15.7" customHeight="1" x14ac:dyDescent="0.3">
      <c r="A70" s="1" t="s">
        <v>194</v>
      </c>
      <c r="B70" s="1" t="s">
        <v>195</v>
      </c>
      <c r="C70" s="1" t="s">
        <v>17</v>
      </c>
      <c r="D70" s="1" t="s">
        <v>196</v>
      </c>
      <c r="E70" s="1" t="s">
        <v>855</v>
      </c>
      <c r="F70" s="1" t="s">
        <v>29</v>
      </c>
      <c r="G70" s="2">
        <v>45450</v>
      </c>
      <c r="H70" s="2">
        <v>45270</v>
      </c>
      <c r="I70" s="1" t="s">
        <v>20</v>
      </c>
      <c r="J70" s="1" t="s">
        <v>21</v>
      </c>
      <c r="K70" s="1" t="s">
        <v>36</v>
      </c>
      <c r="L70" s="1" t="s">
        <v>23</v>
      </c>
      <c r="M70" s="1" t="s">
        <v>24</v>
      </c>
      <c r="N70" s="1" t="s">
        <v>25</v>
      </c>
      <c r="O70" s="8">
        <v>20000</v>
      </c>
    </row>
    <row r="71" spans="1:15" ht="15.7" customHeight="1" x14ac:dyDescent="0.3">
      <c r="A71" s="1" t="s">
        <v>197</v>
      </c>
      <c r="B71" s="1" t="s">
        <v>198</v>
      </c>
      <c r="C71" s="1" t="s">
        <v>199</v>
      </c>
      <c r="D71" s="1" t="s">
        <v>18</v>
      </c>
      <c r="E71" s="1" t="s">
        <v>855</v>
      </c>
      <c r="F71" s="1" t="s">
        <v>29</v>
      </c>
      <c r="G71" s="2">
        <v>45450</v>
      </c>
      <c r="H71" s="2">
        <v>45270</v>
      </c>
      <c r="I71" s="1" t="s">
        <v>20</v>
      </c>
      <c r="J71" s="1" t="s">
        <v>21</v>
      </c>
      <c r="K71" s="1" t="s">
        <v>36</v>
      </c>
      <c r="L71" s="1" t="s">
        <v>23</v>
      </c>
      <c r="M71" s="1" t="s">
        <v>24</v>
      </c>
      <c r="N71" s="1" t="s">
        <v>25</v>
      </c>
      <c r="O71" s="8">
        <v>26526</v>
      </c>
    </row>
    <row r="72" spans="1:15" ht="15.7" customHeight="1" x14ac:dyDescent="0.3">
      <c r="A72" s="1" t="s">
        <v>200</v>
      </c>
      <c r="B72" s="1" t="s">
        <v>201</v>
      </c>
      <c r="C72" s="1" t="s">
        <v>17</v>
      </c>
      <c r="D72" s="1" t="s">
        <v>18</v>
      </c>
      <c r="E72" s="1" t="s">
        <v>855</v>
      </c>
      <c r="F72" s="1" t="s">
        <v>29</v>
      </c>
      <c r="G72" s="2">
        <v>45450</v>
      </c>
      <c r="H72" s="2">
        <v>45270</v>
      </c>
      <c r="I72" s="1" t="s">
        <v>20</v>
      </c>
      <c r="J72" s="1" t="s">
        <v>35</v>
      </c>
      <c r="K72" s="1" t="s">
        <v>54</v>
      </c>
      <c r="L72" s="1" t="s">
        <v>91</v>
      </c>
      <c r="M72" s="1" t="s">
        <v>44</v>
      </c>
      <c r="N72" s="1" t="s">
        <v>25</v>
      </c>
      <c r="O72" s="8">
        <v>10000</v>
      </c>
    </row>
    <row r="73" spans="1:15" ht="15.7" customHeight="1" x14ac:dyDescent="0.3">
      <c r="A73" s="1" t="s">
        <v>202</v>
      </c>
      <c r="B73" s="1" t="s">
        <v>203</v>
      </c>
      <c r="C73" s="1" t="s">
        <v>199</v>
      </c>
      <c r="D73" s="1" t="s">
        <v>18</v>
      </c>
      <c r="E73" s="1" t="s">
        <v>855</v>
      </c>
      <c r="F73" s="1" t="s">
        <v>29</v>
      </c>
      <c r="G73" s="2">
        <v>45450</v>
      </c>
      <c r="H73" s="2">
        <v>45270</v>
      </c>
      <c r="I73" s="1" t="s">
        <v>20</v>
      </c>
      <c r="J73" s="1" t="s">
        <v>21</v>
      </c>
      <c r="K73" s="1" t="s">
        <v>30</v>
      </c>
      <c r="L73" s="1" t="s">
        <v>23</v>
      </c>
      <c r="M73" s="1" t="s">
        <v>24</v>
      </c>
      <c r="N73" s="1" t="s">
        <v>25</v>
      </c>
      <c r="O73" s="8">
        <v>10000</v>
      </c>
    </row>
    <row r="74" spans="1:15" ht="15.7" customHeight="1" x14ac:dyDescent="0.3">
      <c r="A74" s="1" t="s">
        <v>204</v>
      </c>
      <c r="B74" s="1" t="s">
        <v>205</v>
      </c>
      <c r="C74" s="1" t="s">
        <v>17</v>
      </c>
      <c r="D74" s="1" t="s">
        <v>18</v>
      </c>
      <c r="E74" s="1" t="s">
        <v>855</v>
      </c>
      <c r="F74" s="1" t="s">
        <v>29</v>
      </c>
      <c r="G74" s="2">
        <v>45450</v>
      </c>
      <c r="H74" s="2">
        <v>45270</v>
      </c>
      <c r="I74" s="1" t="s">
        <v>20</v>
      </c>
      <c r="J74" s="1" t="s">
        <v>21</v>
      </c>
      <c r="K74" s="1" t="s">
        <v>22</v>
      </c>
      <c r="L74" s="1" t="s">
        <v>91</v>
      </c>
      <c r="M74" s="1" t="s">
        <v>44</v>
      </c>
      <c r="N74" s="1" t="s">
        <v>25</v>
      </c>
      <c r="O74" s="8">
        <v>262</v>
      </c>
    </row>
    <row r="75" spans="1:15" ht="15.7" customHeight="1" x14ac:dyDescent="0.3">
      <c r="A75" s="1" t="s">
        <v>206</v>
      </c>
      <c r="B75" s="1" t="s">
        <v>207</v>
      </c>
      <c r="C75" s="1" t="s">
        <v>34</v>
      </c>
      <c r="D75" s="1" t="s">
        <v>18</v>
      </c>
      <c r="E75" s="1" t="s">
        <v>855</v>
      </c>
      <c r="F75" s="1" t="s">
        <v>29</v>
      </c>
      <c r="G75" s="2">
        <v>45451</v>
      </c>
      <c r="H75" s="2">
        <v>45271</v>
      </c>
      <c r="I75" s="1" t="s">
        <v>76</v>
      </c>
      <c r="J75" s="1" t="s">
        <v>21</v>
      </c>
      <c r="K75" s="1" t="s">
        <v>36</v>
      </c>
      <c r="L75" s="1" t="s">
        <v>119</v>
      </c>
      <c r="M75" s="1" t="s">
        <v>44</v>
      </c>
      <c r="N75" s="1" t="s">
        <v>25</v>
      </c>
      <c r="O75" s="8">
        <v>10000</v>
      </c>
    </row>
    <row r="76" spans="1:15" ht="15.7" customHeight="1" x14ac:dyDescent="0.3">
      <c r="A76" s="1" t="s">
        <v>208</v>
      </c>
      <c r="B76" s="1" t="s">
        <v>209</v>
      </c>
      <c r="C76" s="1" t="s">
        <v>41</v>
      </c>
      <c r="D76" s="1" t="s">
        <v>18</v>
      </c>
      <c r="E76" s="1" t="s">
        <v>855</v>
      </c>
      <c r="F76" s="1" t="s">
        <v>29</v>
      </c>
      <c r="G76" s="2">
        <v>45451</v>
      </c>
      <c r="H76" s="2">
        <v>45271</v>
      </c>
      <c r="I76" s="1" t="s">
        <v>20</v>
      </c>
      <c r="J76" s="1" t="s">
        <v>21</v>
      </c>
      <c r="K76" s="1" t="s">
        <v>36</v>
      </c>
      <c r="L76" s="1" t="s">
        <v>91</v>
      </c>
      <c r="M76" s="1" t="s">
        <v>44</v>
      </c>
      <c r="N76" s="1" t="s">
        <v>25</v>
      </c>
      <c r="O76" s="8">
        <v>10000</v>
      </c>
    </row>
    <row r="77" spans="1:15" ht="15.7" customHeight="1" x14ac:dyDescent="0.3">
      <c r="A77" s="1" t="s">
        <v>210</v>
      </c>
      <c r="B77" s="1" t="s">
        <v>211</v>
      </c>
      <c r="C77" s="1" t="s">
        <v>41</v>
      </c>
      <c r="D77" s="1" t="s">
        <v>18</v>
      </c>
      <c r="E77" s="1" t="s">
        <v>855</v>
      </c>
      <c r="F77" s="1" t="s">
        <v>29</v>
      </c>
      <c r="G77" s="2">
        <v>45451</v>
      </c>
      <c r="H77" s="2">
        <v>45271</v>
      </c>
      <c r="I77" s="1" t="s">
        <v>20</v>
      </c>
      <c r="J77" s="1" t="s">
        <v>21</v>
      </c>
      <c r="K77" s="1" t="s">
        <v>54</v>
      </c>
      <c r="L77" s="1" t="s">
        <v>91</v>
      </c>
      <c r="M77" s="1" t="s">
        <v>44</v>
      </c>
      <c r="N77" s="1" t="s">
        <v>25</v>
      </c>
      <c r="O77" s="8">
        <v>1626</v>
      </c>
    </row>
    <row r="78" spans="1:15" ht="15.7" customHeight="1" x14ac:dyDescent="0.3">
      <c r="A78" s="1" t="s">
        <v>212</v>
      </c>
      <c r="B78" s="1" t="s">
        <v>213</v>
      </c>
      <c r="C78" s="1" t="s">
        <v>34</v>
      </c>
      <c r="D78" s="1" t="s">
        <v>18</v>
      </c>
      <c r="E78" s="1" t="s">
        <v>855</v>
      </c>
      <c r="F78" s="1" t="s">
        <v>29</v>
      </c>
      <c r="G78" s="2">
        <v>45451</v>
      </c>
      <c r="H78" s="2">
        <v>45271</v>
      </c>
      <c r="I78" s="1" t="s">
        <v>20</v>
      </c>
      <c r="J78" s="1" t="s">
        <v>21</v>
      </c>
      <c r="K78" s="1" t="s">
        <v>22</v>
      </c>
      <c r="L78" s="1" t="s">
        <v>214</v>
      </c>
      <c r="M78" s="1" t="s">
        <v>24</v>
      </c>
      <c r="N78" s="1" t="s">
        <v>25</v>
      </c>
      <c r="O78" s="8">
        <v>10000</v>
      </c>
    </row>
    <row r="79" spans="1:15" ht="15.7" customHeight="1" x14ac:dyDescent="0.3">
      <c r="A79" s="1" t="s">
        <v>215</v>
      </c>
      <c r="B79" s="1" t="s">
        <v>216</v>
      </c>
      <c r="C79" s="1" t="s">
        <v>34</v>
      </c>
      <c r="D79" s="1" t="s">
        <v>18</v>
      </c>
      <c r="E79" s="1" t="s">
        <v>855</v>
      </c>
      <c r="F79" s="1" t="s">
        <v>29</v>
      </c>
      <c r="G79" s="2">
        <v>45451</v>
      </c>
      <c r="H79" s="2">
        <v>45271</v>
      </c>
      <c r="I79" s="1" t="s">
        <v>20</v>
      </c>
      <c r="J79" s="1" t="s">
        <v>21</v>
      </c>
      <c r="K79" s="1" t="s">
        <v>36</v>
      </c>
      <c r="L79" s="1" t="s">
        <v>214</v>
      </c>
      <c r="M79" s="1" t="s">
        <v>24</v>
      </c>
      <c r="N79" s="1" t="s">
        <v>25</v>
      </c>
      <c r="O79" s="8">
        <v>10000</v>
      </c>
    </row>
    <row r="80" spans="1:15" ht="15.7" customHeight="1" x14ac:dyDescent="0.3">
      <c r="A80" s="1" t="s">
        <v>217</v>
      </c>
      <c r="B80" s="1" t="s">
        <v>218</v>
      </c>
      <c r="C80" s="1" t="s">
        <v>41</v>
      </c>
      <c r="D80" s="1" t="s">
        <v>18</v>
      </c>
      <c r="E80" s="1" t="s">
        <v>855</v>
      </c>
      <c r="F80" s="1" t="s">
        <v>29</v>
      </c>
      <c r="G80" s="2">
        <v>45451</v>
      </c>
      <c r="H80" s="2">
        <v>45271</v>
      </c>
      <c r="I80" s="1" t="s">
        <v>20</v>
      </c>
      <c r="J80" s="1" t="s">
        <v>21</v>
      </c>
      <c r="K80" s="1" t="s">
        <v>110</v>
      </c>
      <c r="L80" s="1" t="s">
        <v>219</v>
      </c>
      <c r="M80" s="1" t="s">
        <v>44</v>
      </c>
      <c r="N80" s="1" t="s">
        <v>25</v>
      </c>
      <c r="O80" s="8">
        <v>266</v>
      </c>
    </row>
    <row r="81" spans="1:15" ht="15.7" customHeight="1" x14ac:dyDescent="0.3">
      <c r="A81" s="1" t="s">
        <v>220</v>
      </c>
      <c r="B81" s="1" t="s">
        <v>221</v>
      </c>
      <c r="C81" s="1" t="s">
        <v>41</v>
      </c>
      <c r="D81" s="1" t="s">
        <v>18</v>
      </c>
      <c r="E81" s="1" t="s">
        <v>855</v>
      </c>
      <c r="F81" s="1" t="s">
        <v>29</v>
      </c>
      <c r="G81" s="2">
        <v>45451</v>
      </c>
      <c r="H81" s="2">
        <v>45271</v>
      </c>
      <c r="I81" s="1" t="s">
        <v>20</v>
      </c>
      <c r="J81" s="1" t="s">
        <v>21</v>
      </c>
      <c r="K81" s="1" t="s">
        <v>30</v>
      </c>
      <c r="L81" s="1" t="s">
        <v>214</v>
      </c>
      <c r="M81" s="1" t="s">
        <v>24</v>
      </c>
      <c r="N81" s="1" t="s">
        <v>25</v>
      </c>
      <c r="O81" s="8">
        <v>10000</v>
      </c>
    </row>
    <row r="82" spans="1:15" ht="15.7" customHeight="1" x14ac:dyDescent="0.3">
      <c r="A82" s="1" t="s">
        <v>222</v>
      </c>
      <c r="B82" s="1" t="s">
        <v>223</v>
      </c>
      <c r="C82" s="1" t="s">
        <v>41</v>
      </c>
      <c r="D82" s="1" t="s">
        <v>42</v>
      </c>
      <c r="E82" s="1" t="s">
        <v>855</v>
      </c>
      <c r="F82" s="1" t="s">
        <v>29</v>
      </c>
      <c r="G82" s="2">
        <v>45451</v>
      </c>
      <c r="H82" s="2">
        <v>45271</v>
      </c>
      <c r="I82" s="1" t="s">
        <v>20</v>
      </c>
      <c r="J82" s="1" t="s">
        <v>35</v>
      </c>
      <c r="K82" s="1" t="s">
        <v>110</v>
      </c>
      <c r="L82" s="1" t="s">
        <v>23</v>
      </c>
      <c r="M82" s="1" t="s">
        <v>24</v>
      </c>
      <c r="N82" s="1" t="s">
        <v>25</v>
      </c>
      <c r="O82" s="8">
        <v>10000</v>
      </c>
    </row>
    <row r="83" spans="1:15" ht="15.7" customHeight="1" x14ac:dyDescent="0.3">
      <c r="A83" s="1" t="s">
        <v>224</v>
      </c>
      <c r="B83" s="1" t="s">
        <v>225</v>
      </c>
      <c r="C83" s="1" t="s">
        <v>41</v>
      </c>
      <c r="D83" s="1" t="s">
        <v>18</v>
      </c>
      <c r="E83" s="1" t="s">
        <v>855</v>
      </c>
      <c r="F83" s="1" t="s">
        <v>29</v>
      </c>
      <c r="G83" s="2">
        <v>45451</v>
      </c>
      <c r="H83" s="2">
        <v>45271</v>
      </c>
      <c r="I83" s="1" t="s">
        <v>20</v>
      </c>
      <c r="J83" s="1" t="s">
        <v>21</v>
      </c>
      <c r="K83" s="1" t="s">
        <v>110</v>
      </c>
      <c r="L83" s="1" t="s">
        <v>23</v>
      </c>
      <c r="M83" s="1" t="s">
        <v>24</v>
      </c>
      <c r="N83" s="1" t="s">
        <v>25</v>
      </c>
      <c r="O83" s="8">
        <v>16</v>
      </c>
    </row>
    <row r="84" spans="1:15" ht="15.7" customHeight="1" x14ac:dyDescent="0.3">
      <c r="A84" s="1" t="s">
        <v>226</v>
      </c>
      <c r="B84" s="1" t="s">
        <v>227</v>
      </c>
      <c r="C84" s="1" t="s">
        <v>41</v>
      </c>
      <c r="D84" s="1" t="s">
        <v>18</v>
      </c>
      <c r="E84" s="1" t="s">
        <v>855</v>
      </c>
      <c r="F84" s="1" t="s">
        <v>29</v>
      </c>
      <c r="G84" s="2">
        <v>45451</v>
      </c>
      <c r="H84" s="2">
        <v>45271</v>
      </c>
      <c r="I84" s="1" t="s">
        <v>20</v>
      </c>
      <c r="J84" s="1" t="s">
        <v>21</v>
      </c>
      <c r="K84" s="1" t="s">
        <v>30</v>
      </c>
      <c r="L84" s="1" t="s">
        <v>23</v>
      </c>
      <c r="M84" s="1" t="s">
        <v>24</v>
      </c>
      <c r="N84" s="1" t="s">
        <v>25</v>
      </c>
      <c r="O84" s="8">
        <v>1000</v>
      </c>
    </row>
    <row r="85" spans="1:15" ht="15.7" customHeight="1" x14ac:dyDescent="0.3">
      <c r="A85" s="1" t="s">
        <v>228</v>
      </c>
      <c r="B85" s="1" t="s">
        <v>229</v>
      </c>
      <c r="C85" s="1" t="s">
        <v>34</v>
      </c>
      <c r="D85" s="1" t="s">
        <v>18</v>
      </c>
      <c r="E85" s="1" t="s">
        <v>855</v>
      </c>
      <c r="F85" s="1" t="s">
        <v>29</v>
      </c>
      <c r="G85" s="2">
        <v>45451</v>
      </c>
      <c r="H85" s="2">
        <v>45271</v>
      </c>
      <c r="I85" s="1" t="s">
        <v>20</v>
      </c>
      <c r="J85" s="1" t="s">
        <v>21</v>
      </c>
      <c r="K85" s="1" t="s">
        <v>30</v>
      </c>
      <c r="L85" s="1" t="s">
        <v>23</v>
      </c>
      <c r="M85" s="1" t="s">
        <v>24</v>
      </c>
      <c r="N85" s="1" t="s">
        <v>25</v>
      </c>
      <c r="O85" s="8">
        <v>1000</v>
      </c>
    </row>
    <row r="86" spans="1:15" ht="15.7" customHeight="1" x14ac:dyDescent="0.3">
      <c r="A86" s="1" t="s">
        <v>230</v>
      </c>
      <c r="B86" s="1" t="s">
        <v>231</v>
      </c>
      <c r="C86" s="1" t="s">
        <v>41</v>
      </c>
      <c r="D86" s="1" t="s">
        <v>18</v>
      </c>
      <c r="E86" s="1" t="s">
        <v>855</v>
      </c>
      <c r="F86" s="1" t="s">
        <v>29</v>
      </c>
      <c r="G86" s="2">
        <v>45451</v>
      </c>
      <c r="H86" s="2">
        <v>45271</v>
      </c>
      <c r="I86" s="1" t="s">
        <v>20</v>
      </c>
      <c r="J86" s="1" t="s">
        <v>21</v>
      </c>
      <c r="K86" s="1" t="s">
        <v>22</v>
      </c>
      <c r="L86" s="1" t="s">
        <v>23</v>
      </c>
      <c r="M86" s="1" t="s">
        <v>24</v>
      </c>
      <c r="N86" s="1" t="s">
        <v>25</v>
      </c>
      <c r="O86" s="8">
        <v>616</v>
      </c>
    </row>
    <row r="87" spans="1:15" ht="15.7" customHeight="1" x14ac:dyDescent="0.3">
      <c r="A87" s="1" t="s">
        <v>232</v>
      </c>
      <c r="B87" s="1" t="s">
        <v>233</v>
      </c>
      <c r="C87" s="1" t="s">
        <v>34</v>
      </c>
      <c r="D87" s="1" t="s">
        <v>18</v>
      </c>
      <c r="E87" s="1" t="s">
        <v>855</v>
      </c>
      <c r="F87" s="1" t="s">
        <v>29</v>
      </c>
      <c r="G87" s="2">
        <v>45451</v>
      </c>
      <c r="H87" s="2">
        <v>45271</v>
      </c>
      <c r="I87" s="1" t="s">
        <v>20</v>
      </c>
      <c r="J87" s="1" t="s">
        <v>21</v>
      </c>
      <c r="K87" s="1" t="s">
        <v>54</v>
      </c>
      <c r="L87" s="1" t="s">
        <v>23</v>
      </c>
      <c r="M87" s="1" t="s">
        <v>24</v>
      </c>
      <c r="N87" s="1" t="s">
        <v>25</v>
      </c>
      <c r="O87" s="8">
        <v>1000</v>
      </c>
    </row>
    <row r="88" spans="1:15" ht="15.7" customHeight="1" x14ac:dyDescent="0.3">
      <c r="A88" s="1" t="s">
        <v>234</v>
      </c>
      <c r="B88" s="1" t="s">
        <v>235</v>
      </c>
      <c r="C88" s="1" t="s">
        <v>34</v>
      </c>
      <c r="D88" s="1" t="s">
        <v>18</v>
      </c>
      <c r="E88" s="1" t="s">
        <v>855</v>
      </c>
      <c r="F88" s="1" t="s">
        <v>29</v>
      </c>
      <c r="G88" s="2">
        <v>45451</v>
      </c>
      <c r="H88" s="2">
        <v>45271</v>
      </c>
      <c r="I88" s="1" t="s">
        <v>20</v>
      </c>
      <c r="J88" s="1" t="s">
        <v>21</v>
      </c>
      <c r="K88" s="1" t="s">
        <v>54</v>
      </c>
      <c r="L88" s="1" t="s">
        <v>91</v>
      </c>
      <c r="M88" s="1" t="s">
        <v>44</v>
      </c>
      <c r="N88" s="1" t="s">
        <v>25</v>
      </c>
      <c r="O88" s="8">
        <v>1000</v>
      </c>
    </row>
    <row r="89" spans="1:15" ht="15.7" customHeight="1" x14ac:dyDescent="0.3">
      <c r="A89" s="1" t="s">
        <v>236</v>
      </c>
      <c r="B89" s="1" t="s">
        <v>237</v>
      </c>
      <c r="C89" s="1" t="s">
        <v>34</v>
      </c>
      <c r="D89" s="1" t="s">
        <v>18</v>
      </c>
      <c r="E89" s="1" t="s">
        <v>855</v>
      </c>
      <c r="F89" s="1" t="s">
        <v>29</v>
      </c>
      <c r="G89" s="2">
        <v>45451</v>
      </c>
      <c r="H89" s="2">
        <v>45271</v>
      </c>
      <c r="I89" s="1" t="s">
        <v>20</v>
      </c>
      <c r="J89" s="1" t="s">
        <v>21</v>
      </c>
      <c r="K89" s="1" t="s">
        <v>110</v>
      </c>
      <c r="L89" s="1" t="s">
        <v>111</v>
      </c>
      <c r="M89" s="1" t="s">
        <v>44</v>
      </c>
      <c r="N89" s="1" t="s">
        <v>25</v>
      </c>
      <c r="O89" s="8">
        <v>1662</v>
      </c>
    </row>
    <row r="90" spans="1:15" ht="15.7" customHeight="1" x14ac:dyDescent="0.3">
      <c r="A90" s="1" t="s">
        <v>238</v>
      </c>
      <c r="B90" s="1" t="s">
        <v>239</v>
      </c>
      <c r="C90" s="1" t="s">
        <v>41</v>
      </c>
      <c r="D90" s="1" t="s">
        <v>18</v>
      </c>
      <c r="E90" s="1" t="s">
        <v>855</v>
      </c>
      <c r="F90" s="1" t="s">
        <v>29</v>
      </c>
      <c r="G90" s="2">
        <v>45451</v>
      </c>
      <c r="H90" s="2">
        <v>45271</v>
      </c>
      <c r="I90" s="1" t="s">
        <v>20</v>
      </c>
      <c r="J90" s="1" t="s">
        <v>21</v>
      </c>
      <c r="K90" s="1" t="s">
        <v>30</v>
      </c>
      <c r="L90" s="1" t="s">
        <v>23</v>
      </c>
      <c r="M90" s="1" t="s">
        <v>24</v>
      </c>
      <c r="N90" s="1" t="s">
        <v>25</v>
      </c>
      <c r="O90" s="8">
        <v>10000</v>
      </c>
    </row>
    <row r="91" spans="1:15" ht="15.7" customHeight="1" x14ac:dyDescent="0.3">
      <c r="A91" s="1" t="s">
        <v>240</v>
      </c>
      <c r="B91" s="1" t="s">
        <v>241</v>
      </c>
      <c r="C91" s="1" t="s">
        <v>34</v>
      </c>
      <c r="D91" s="1" t="s">
        <v>18</v>
      </c>
      <c r="E91" s="1" t="s">
        <v>855</v>
      </c>
      <c r="F91" s="1" t="s">
        <v>29</v>
      </c>
      <c r="G91" s="2">
        <v>45451</v>
      </c>
      <c r="H91" s="2">
        <v>45271</v>
      </c>
      <c r="I91" s="1" t="s">
        <v>20</v>
      </c>
      <c r="J91" s="1" t="s">
        <v>21</v>
      </c>
      <c r="K91" s="1" t="s">
        <v>36</v>
      </c>
      <c r="L91" s="1" t="s">
        <v>23</v>
      </c>
      <c r="M91" s="1" t="s">
        <v>24</v>
      </c>
      <c r="N91" s="1" t="s">
        <v>25</v>
      </c>
      <c r="O91" s="8">
        <v>16326</v>
      </c>
    </row>
    <row r="92" spans="1:15" ht="15.7" customHeight="1" x14ac:dyDescent="0.3">
      <c r="A92" s="1" t="s">
        <v>242</v>
      </c>
      <c r="B92" s="1" t="s">
        <v>149</v>
      </c>
      <c r="C92" s="1" t="s">
        <v>34</v>
      </c>
      <c r="D92" s="1" t="s">
        <v>18</v>
      </c>
      <c r="E92" s="1" t="s">
        <v>855</v>
      </c>
      <c r="F92" s="1" t="s">
        <v>29</v>
      </c>
      <c r="G92" s="2">
        <v>45451</v>
      </c>
      <c r="H92" s="2">
        <v>45271</v>
      </c>
      <c r="I92" s="1" t="s">
        <v>20</v>
      </c>
      <c r="J92" s="1" t="s">
        <v>35</v>
      </c>
      <c r="K92" s="1" t="s">
        <v>110</v>
      </c>
      <c r="L92" s="1" t="s">
        <v>23</v>
      </c>
      <c r="M92" s="1" t="s">
        <v>24</v>
      </c>
      <c r="N92" s="1" t="s">
        <v>25</v>
      </c>
      <c r="O92" s="8">
        <v>10000</v>
      </c>
    </row>
    <row r="93" spans="1:15" ht="15.7" customHeight="1" x14ac:dyDescent="0.3">
      <c r="A93" s="1" t="s">
        <v>243</v>
      </c>
      <c r="B93" s="1" t="s">
        <v>244</v>
      </c>
      <c r="C93" s="1" t="s">
        <v>41</v>
      </c>
      <c r="D93" s="1" t="s">
        <v>18</v>
      </c>
      <c r="E93" s="1" t="s">
        <v>855</v>
      </c>
      <c r="F93" s="1" t="s">
        <v>29</v>
      </c>
      <c r="G93" s="2">
        <v>45451</v>
      </c>
      <c r="H93" s="2">
        <v>45271</v>
      </c>
      <c r="I93" s="1" t="s">
        <v>20</v>
      </c>
      <c r="J93" s="1" t="s">
        <v>21</v>
      </c>
      <c r="K93" s="1" t="s">
        <v>36</v>
      </c>
      <c r="L93" s="1" t="s">
        <v>23</v>
      </c>
      <c r="M93" s="1" t="s">
        <v>24</v>
      </c>
      <c r="N93" s="1" t="s">
        <v>25</v>
      </c>
      <c r="O93" s="8">
        <v>26265</v>
      </c>
    </row>
    <row r="94" spans="1:15" ht="15.7" customHeight="1" x14ac:dyDescent="0.3">
      <c r="A94" s="1" t="s">
        <v>245</v>
      </c>
      <c r="B94" s="1" t="s">
        <v>246</v>
      </c>
      <c r="C94" s="1" t="s">
        <v>17</v>
      </c>
      <c r="D94" s="1" t="s">
        <v>18</v>
      </c>
      <c r="E94" s="1" t="s">
        <v>855</v>
      </c>
      <c r="F94" s="1" t="s">
        <v>29</v>
      </c>
      <c r="G94" s="2">
        <v>45451</v>
      </c>
      <c r="H94" s="2">
        <v>45271</v>
      </c>
      <c r="I94" s="1" t="s">
        <v>20</v>
      </c>
      <c r="J94" s="1" t="s">
        <v>21</v>
      </c>
      <c r="K94" s="1" t="s">
        <v>36</v>
      </c>
      <c r="L94" s="1" t="s">
        <v>23</v>
      </c>
      <c r="M94" s="1" t="s">
        <v>24</v>
      </c>
      <c r="N94" s="1" t="s">
        <v>25</v>
      </c>
      <c r="O94" s="8">
        <v>2162</v>
      </c>
    </row>
    <row r="95" spans="1:15" ht="15.7" customHeight="1" x14ac:dyDescent="0.3">
      <c r="A95" s="1" t="s">
        <v>247</v>
      </c>
      <c r="B95" s="1" t="s">
        <v>248</v>
      </c>
      <c r="C95" s="1" t="s">
        <v>17</v>
      </c>
      <c r="D95" s="1" t="s">
        <v>18</v>
      </c>
      <c r="E95" s="1" t="s">
        <v>855</v>
      </c>
      <c r="F95" s="1" t="s">
        <v>29</v>
      </c>
      <c r="G95" s="2">
        <v>45451</v>
      </c>
      <c r="H95" s="2">
        <v>45271</v>
      </c>
      <c r="I95" s="1" t="s">
        <v>76</v>
      </c>
      <c r="J95" s="1" t="s">
        <v>21</v>
      </c>
      <c r="K95" s="1" t="s">
        <v>36</v>
      </c>
      <c r="L95" s="1" t="s">
        <v>91</v>
      </c>
      <c r="M95" s="1" t="s">
        <v>44</v>
      </c>
      <c r="N95" s="1" t="s">
        <v>25</v>
      </c>
      <c r="O95" s="8">
        <v>10000</v>
      </c>
    </row>
    <row r="96" spans="1:15" ht="15.7" customHeight="1" x14ac:dyDescent="0.3">
      <c r="A96" s="1" t="s">
        <v>249</v>
      </c>
      <c r="B96" s="1" t="s">
        <v>250</v>
      </c>
      <c r="C96" s="1" t="s">
        <v>199</v>
      </c>
      <c r="D96" s="1" t="s">
        <v>18</v>
      </c>
      <c r="E96" s="1" t="s">
        <v>855</v>
      </c>
      <c r="F96" s="1" t="s">
        <v>29</v>
      </c>
      <c r="G96" s="2">
        <v>45451</v>
      </c>
      <c r="H96" s="2">
        <v>45271</v>
      </c>
      <c r="I96" s="1" t="s">
        <v>76</v>
      </c>
      <c r="J96" s="1" t="s">
        <v>21</v>
      </c>
      <c r="K96" s="1" t="s">
        <v>30</v>
      </c>
      <c r="L96" s="1" t="s">
        <v>23</v>
      </c>
      <c r="M96" s="1" t="s">
        <v>24</v>
      </c>
      <c r="N96" s="1" t="s">
        <v>25</v>
      </c>
      <c r="O96" s="8">
        <v>16521</v>
      </c>
    </row>
    <row r="97" spans="1:15" ht="15.7" customHeight="1" x14ac:dyDescent="0.3">
      <c r="A97" s="1" t="s">
        <v>251</v>
      </c>
      <c r="B97" s="1" t="s">
        <v>252</v>
      </c>
      <c r="C97" s="1" t="s">
        <v>199</v>
      </c>
      <c r="D97" s="1" t="s">
        <v>18</v>
      </c>
      <c r="E97" s="1" t="s">
        <v>855</v>
      </c>
      <c r="F97" s="1" t="s">
        <v>29</v>
      </c>
      <c r="G97" s="2">
        <v>45451</v>
      </c>
      <c r="H97" s="2">
        <v>45271</v>
      </c>
      <c r="I97" s="1" t="s">
        <v>76</v>
      </c>
      <c r="J97" s="1" t="s">
        <v>21</v>
      </c>
      <c r="K97" s="1" t="s">
        <v>22</v>
      </c>
      <c r="L97" s="1" t="s">
        <v>253</v>
      </c>
      <c r="M97" s="1" t="s">
        <v>44</v>
      </c>
      <c r="N97" s="1" t="s">
        <v>25</v>
      </c>
      <c r="O97" s="8">
        <v>21625</v>
      </c>
    </row>
    <row r="98" spans="1:15" ht="15.7" customHeight="1" x14ac:dyDescent="0.3">
      <c r="A98" s="1" t="s">
        <v>254</v>
      </c>
      <c r="B98" s="1" t="s">
        <v>155</v>
      </c>
      <c r="C98" s="1" t="s">
        <v>17</v>
      </c>
      <c r="D98" s="1" t="s">
        <v>18</v>
      </c>
      <c r="E98" s="1" t="s">
        <v>855</v>
      </c>
      <c r="F98" s="1" t="s">
        <v>29</v>
      </c>
      <c r="G98" s="2">
        <v>45451</v>
      </c>
      <c r="H98" s="2">
        <v>45271</v>
      </c>
      <c r="I98" s="1" t="s">
        <v>76</v>
      </c>
      <c r="J98" s="1" t="s">
        <v>21</v>
      </c>
      <c r="K98" s="1" t="s">
        <v>22</v>
      </c>
      <c r="L98" s="1" t="s">
        <v>65</v>
      </c>
      <c r="M98" s="1" t="s">
        <v>277</v>
      </c>
      <c r="N98" s="1" t="s">
        <v>25</v>
      </c>
      <c r="O98" s="8">
        <v>6526</v>
      </c>
    </row>
    <row r="99" spans="1:15" ht="15.7" customHeight="1" x14ac:dyDescent="0.3">
      <c r="A99" s="1" t="s">
        <v>255</v>
      </c>
      <c r="B99" s="1" t="s">
        <v>157</v>
      </c>
      <c r="C99" s="1" t="s">
        <v>17</v>
      </c>
      <c r="D99" s="1" t="s">
        <v>18</v>
      </c>
      <c r="E99" s="1" t="s">
        <v>855</v>
      </c>
      <c r="F99" s="1" t="s">
        <v>29</v>
      </c>
      <c r="G99" s="2">
        <v>45451</v>
      </c>
      <c r="H99" s="2">
        <v>45271</v>
      </c>
      <c r="I99" s="1" t="s">
        <v>76</v>
      </c>
      <c r="J99" s="1" t="s">
        <v>21</v>
      </c>
      <c r="K99" s="1" t="s">
        <v>30</v>
      </c>
      <c r="L99" s="1" t="s">
        <v>256</v>
      </c>
      <c r="M99" s="1" t="s">
        <v>44</v>
      </c>
      <c r="N99" s="1" t="s">
        <v>25</v>
      </c>
      <c r="O99" s="8">
        <v>655</v>
      </c>
    </row>
    <row r="100" spans="1:15" ht="15.7" customHeight="1" x14ac:dyDescent="0.3">
      <c r="A100" s="1" t="s">
        <v>257</v>
      </c>
      <c r="B100" s="1" t="s">
        <v>159</v>
      </c>
      <c r="C100" s="1" t="s">
        <v>17</v>
      </c>
      <c r="D100" s="1" t="s">
        <v>18</v>
      </c>
      <c r="E100" s="1" t="s">
        <v>855</v>
      </c>
      <c r="F100" s="1" t="s">
        <v>29</v>
      </c>
      <c r="G100" s="2">
        <v>45451</v>
      </c>
      <c r="H100" s="2">
        <v>45271</v>
      </c>
      <c r="I100" s="1" t="s">
        <v>76</v>
      </c>
      <c r="J100" s="1" t="s">
        <v>35</v>
      </c>
      <c r="K100" s="1" t="s">
        <v>22</v>
      </c>
      <c r="L100" s="1" t="s">
        <v>23</v>
      </c>
      <c r="M100" s="1" t="s">
        <v>24</v>
      </c>
      <c r="N100" s="1" t="s">
        <v>25</v>
      </c>
      <c r="O100" s="8">
        <v>62146</v>
      </c>
    </row>
    <row r="101" spans="1:15" ht="15.7" customHeight="1" x14ac:dyDescent="0.3">
      <c r="A101" s="1" t="s">
        <v>258</v>
      </c>
      <c r="B101" s="1" t="s">
        <v>161</v>
      </c>
      <c r="C101" s="1" t="s">
        <v>17</v>
      </c>
      <c r="D101" s="1" t="s">
        <v>18</v>
      </c>
      <c r="E101" s="1" t="s">
        <v>855</v>
      </c>
      <c r="F101" s="1" t="s">
        <v>29</v>
      </c>
      <c r="G101" s="2">
        <v>45451</v>
      </c>
      <c r="H101" s="2">
        <v>45271</v>
      </c>
      <c r="I101" s="1" t="s">
        <v>76</v>
      </c>
      <c r="J101" s="1" t="s">
        <v>21</v>
      </c>
      <c r="K101" s="1" t="s">
        <v>54</v>
      </c>
      <c r="L101" s="1" t="s">
        <v>91</v>
      </c>
      <c r="M101" s="1" t="s">
        <v>44</v>
      </c>
      <c r="N101" s="1" t="s">
        <v>25</v>
      </c>
      <c r="O101" s="8">
        <v>2656</v>
      </c>
    </row>
    <row r="102" spans="1:15" ht="15.7" customHeight="1" x14ac:dyDescent="0.3">
      <c r="A102" s="1" t="s">
        <v>259</v>
      </c>
      <c r="B102" s="1" t="s">
        <v>163</v>
      </c>
      <c r="C102" s="1" t="s">
        <v>41</v>
      </c>
      <c r="D102" s="1" t="s">
        <v>18</v>
      </c>
      <c r="E102" s="1" t="s">
        <v>855</v>
      </c>
      <c r="F102" s="1" t="s">
        <v>29</v>
      </c>
      <c r="G102" s="2">
        <v>45451</v>
      </c>
      <c r="H102" s="2">
        <v>45271</v>
      </c>
      <c r="I102" s="1" t="s">
        <v>76</v>
      </c>
      <c r="J102" s="1" t="s">
        <v>21</v>
      </c>
      <c r="K102" s="1" t="s">
        <v>22</v>
      </c>
      <c r="L102" s="1" t="s">
        <v>23</v>
      </c>
      <c r="M102" s="1" t="s">
        <v>24</v>
      </c>
      <c r="N102" s="1" t="s">
        <v>25</v>
      </c>
      <c r="O102" s="8">
        <v>216</v>
      </c>
    </row>
    <row r="103" spans="1:15" ht="15.7" customHeight="1" x14ac:dyDescent="0.3">
      <c r="A103" s="1" t="s">
        <v>260</v>
      </c>
      <c r="B103" s="1" t="s">
        <v>166</v>
      </c>
      <c r="C103" s="1" t="s">
        <v>34</v>
      </c>
      <c r="D103" s="1" t="s">
        <v>18</v>
      </c>
      <c r="E103" s="1" t="s">
        <v>855</v>
      </c>
      <c r="F103" s="1" t="s">
        <v>29</v>
      </c>
      <c r="G103" s="2">
        <v>45451</v>
      </c>
      <c r="H103" s="2">
        <v>45271</v>
      </c>
      <c r="I103" s="1" t="s">
        <v>76</v>
      </c>
      <c r="J103" s="1" t="s">
        <v>21</v>
      </c>
      <c r="K103" s="1" t="s">
        <v>30</v>
      </c>
      <c r="L103" s="1" t="s">
        <v>23</v>
      </c>
      <c r="M103" s="1" t="s">
        <v>24</v>
      </c>
      <c r="N103" s="1" t="s">
        <v>25</v>
      </c>
      <c r="O103" s="8">
        <v>65143</v>
      </c>
    </row>
    <row r="104" spans="1:15" ht="15.7" customHeight="1" x14ac:dyDescent="0.3">
      <c r="A104" s="1" t="s">
        <v>261</v>
      </c>
      <c r="B104" s="1" t="s">
        <v>169</v>
      </c>
      <c r="C104" s="1" t="s">
        <v>34</v>
      </c>
      <c r="D104" s="1" t="s">
        <v>18</v>
      </c>
      <c r="E104" s="1" t="s">
        <v>855</v>
      </c>
      <c r="F104" s="1" t="s">
        <v>29</v>
      </c>
      <c r="G104" s="2">
        <v>45451</v>
      </c>
      <c r="H104" s="2">
        <v>45271</v>
      </c>
      <c r="I104" s="1" t="s">
        <v>76</v>
      </c>
      <c r="J104" s="1" t="s">
        <v>21</v>
      </c>
      <c r="K104" s="1" t="s">
        <v>22</v>
      </c>
      <c r="L104" s="1" t="s">
        <v>23</v>
      </c>
      <c r="M104" s="1" t="s">
        <v>24</v>
      </c>
      <c r="N104" s="1" t="s">
        <v>25</v>
      </c>
      <c r="O104" s="8">
        <v>10000</v>
      </c>
    </row>
    <row r="105" spans="1:15" ht="15.7" customHeight="1" x14ac:dyDescent="0.3">
      <c r="A105" s="1" t="s">
        <v>262</v>
      </c>
      <c r="B105" s="1" t="s">
        <v>172</v>
      </c>
      <c r="C105" s="1" t="s">
        <v>34</v>
      </c>
      <c r="D105" s="1" t="s">
        <v>18</v>
      </c>
      <c r="E105" s="1" t="s">
        <v>855</v>
      </c>
      <c r="F105" s="1" t="s">
        <v>29</v>
      </c>
      <c r="G105" s="2">
        <v>45451</v>
      </c>
      <c r="H105" s="2">
        <v>45271</v>
      </c>
      <c r="I105" s="1" t="s">
        <v>20</v>
      </c>
      <c r="J105" s="1" t="s">
        <v>21</v>
      </c>
      <c r="K105" s="1" t="s">
        <v>30</v>
      </c>
      <c r="L105" s="1" t="s">
        <v>23</v>
      </c>
      <c r="M105" s="1" t="s">
        <v>24</v>
      </c>
      <c r="N105" s="1" t="s">
        <v>25</v>
      </c>
      <c r="O105" s="8">
        <v>10000</v>
      </c>
    </row>
    <row r="106" spans="1:15" ht="15.7" customHeight="1" x14ac:dyDescent="0.3">
      <c r="A106" s="1" t="s">
        <v>263</v>
      </c>
      <c r="B106" s="1" t="s">
        <v>174</v>
      </c>
      <c r="C106" s="1" t="s">
        <v>41</v>
      </c>
      <c r="D106" s="1" t="s">
        <v>18</v>
      </c>
      <c r="E106" s="1" t="s">
        <v>855</v>
      </c>
      <c r="F106" s="1" t="s">
        <v>29</v>
      </c>
      <c r="G106" s="2">
        <v>45451</v>
      </c>
      <c r="H106" s="2">
        <v>45271</v>
      </c>
      <c r="I106" s="1" t="s">
        <v>20</v>
      </c>
      <c r="J106" s="1" t="s">
        <v>21</v>
      </c>
      <c r="K106" s="1" t="s">
        <v>54</v>
      </c>
      <c r="L106" s="1" t="s">
        <v>23</v>
      </c>
      <c r="M106" s="1" t="s">
        <v>24</v>
      </c>
      <c r="N106" s="1" t="s">
        <v>25</v>
      </c>
      <c r="O106" s="8">
        <v>5000</v>
      </c>
    </row>
    <row r="107" spans="1:15" ht="15.7" customHeight="1" x14ac:dyDescent="0.3">
      <c r="A107" s="1" t="s">
        <v>264</v>
      </c>
      <c r="B107" s="1" t="s">
        <v>176</v>
      </c>
      <c r="C107" s="1" t="s">
        <v>34</v>
      </c>
      <c r="D107" s="1" t="s">
        <v>18</v>
      </c>
      <c r="E107" s="1" t="s">
        <v>855</v>
      </c>
      <c r="F107" s="1" t="s">
        <v>29</v>
      </c>
      <c r="G107" s="2">
        <v>45451</v>
      </c>
      <c r="H107" s="2">
        <v>45271</v>
      </c>
      <c r="I107" s="1" t="s">
        <v>20</v>
      </c>
      <c r="J107" s="1" t="s">
        <v>21</v>
      </c>
      <c r="K107" s="1" t="s">
        <v>22</v>
      </c>
      <c r="L107" s="1" t="s">
        <v>23</v>
      </c>
      <c r="M107" s="1" t="s">
        <v>24</v>
      </c>
      <c r="N107" s="1" t="s">
        <v>25</v>
      </c>
      <c r="O107" s="8">
        <v>5000</v>
      </c>
    </row>
    <row r="108" spans="1:15" ht="15.7" customHeight="1" x14ac:dyDescent="0.3">
      <c r="A108" s="1" t="s">
        <v>265</v>
      </c>
      <c r="B108" s="1" t="s">
        <v>178</v>
      </c>
      <c r="C108" s="1" t="s">
        <v>34</v>
      </c>
      <c r="D108" s="1" t="s">
        <v>18</v>
      </c>
      <c r="E108" s="1" t="s">
        <v>855</v>
      </c>
      <c r="F108" s="1" t="s">
        <v>29</v>
      </c>
      <c r="G108" s="2">
        <v>45451</v>
      </c>
      <c r="H108" s="2">
        <v>45271</v>
      </c>
      <c r="I108" s="1" t="s">
        <v>20</v>
      </c>
      <c r="J108" s="1" t="s">
        <v>21</v>
      </c>
      <c r="K108" s="1" t="s">
        <v>22</v>
      </c>
      <c r="L108" s="1" t="s">
        <v>23</v>
      </c>
      <c r="M108" s="1" t="s">
        <v>24</v>
      </c>
      <c r="N108" s="1" t="s">
        <v>25</v>
      </c>
      <c r="O108" s="8">
        <v>5000</v>
      </c>
    </row>
    <row r="109" spans="1:15" ht="15.7" customHeight="1" x14ac:dyDescent="0.3">
      <c r="A109" s="1" t="s">
        <v>266</v>
      </c>
      <c r="B109" s="1" t="s">
        <v>180</v>
      </c>
      <c r="C109" s="1" t="s">
        <v>34</v>
      </c>
      <c r="D109" s="1" t="s">
        <v>18</v>
      </c>
      <c r="E109" s="1" t="s">
        <v>855</v>
      </c>
      <c r="F109" s="1" t="s">
        <v>29</v>
      </c>
      <c r="G109" s="2">
        <v>45451</v>
      </c>
      <c r="H109" s="2">
        <v>45271</v>
      </c>
      <c r="I109" s="1" t="s">
        <v>20</v>
      </c>
      <c r="J109" s="1" t="s">
        <v>21</v>
      </c>
      <c r="K109" s="1" t="s">
        <v>30</v>
      </c>
      <c r="L109" s="1" t="s">
        <v>65</v>
      </c>
      <c r="M109" s="1" t="s">
        <v>277</v>
      </c>
      <c r="N109" s="1" t="s">
        <v>25</v>
      </c>
      <c r="O109" s="8">
        <v>5000</v>
      </c>
    </row>
    <row r="110" spans="1:15" ht="15.7" customHeight="1" x14ac:dyDescent="0.3">
      <c r="A110" s="1" t="s">
        <v>267</v>
      </c>
      <c r="B110" s="1" t="s">
        <v>268</v>
      </c>
      <c r="C110" s="1" t="s">
        <v>41</v>
      </c>
      <c r="D110" s="1" t="s">
        <v>18</v>
      </c>
      <c r="E110" s="1" t="s">
        <v>855</v>
      </c>
      <c r="F110" s="1" t="s">
        <v>29</v>
      </c>
      <c r="G110" s="2">
        <v>45451</v>
      </c>
      <c r="H110" s="2">
        <v>45271</v>
      </c>
      <c r="I110" s="1" t="s">
        <v>20</v>
      </c>
      <c r="J110" s="1" t="s">
        <v>21</v>
      </c>
      <c r="K110" s="1" t="s">
        <v>22</v>
      </c>
      <c r="L110" s="1" t="s">
        <v>119</v>
      </c>
      <c r="M110" s="1" t="s">
        <v>44</v>
      </c>
      <c r="N110" s="1" t="s">
        <v>25</v>
      </c>
      <c r="O110" s="8">
        <v>5000</v>
      </c>
    </row>
    <row r="111" spans="1:15" ht="15.7" customHeight="1" x14ac:dyDescent="0.3">
      <c r="A111" s="1" t="s">
        <v>269</v>
      </c>
      <c r="B111" s="1" t="s">
        <v>270</v>
      </c>
      <c r="C111" s="1" t="s">
        <v>34</v>
      </c>
      <c r="D111" s="1" t="s">
        <v>18</v>
      </c>
      <c r="E111" s="1" t="s">
        <v>855</v>
      </c>
      <c r="F111" s="1" t="s">
        <v>29</v>
      </c>
      <c r="G111" s="2">
        <v>45451</v>
      </c>
      <c r="H111" s="2">
        <v>45271</v>
      </c>
      <c r="I111" s="1" t="s">
        <v>20</v>
      </c>
      <c r="J111" s="1" t="s">
        <v>21</v>
      </c>
      <c r="K111" s="1" t="s">
        <v>68</v>
      </c>
      <c r="L111" s="1" t="s">
        <v>114</v>
      </c>
      <c r="M111" s="1" t="s">
        <v>24</v>
      </c>
      <c r="N111" s="1" t="s">
        <v>25</v>
      </c>
      <c r="O111" s="8">
        <v>5000</v>
      </c>
    </row>
    <row r="112" spans="1:15" ht="15.7" customHeight="1" x14ac:dyDescent="0.3">
      <c r="A112" s="1" t="s">
        <v>271</v>
      </c>
      <c r="B112" s="1" t="s">
        <v>16</v>
      </c>
      <c r="C112" s="1" t="s">
        <v>34</v>
      </c>
      <c r="D112" s="1" t="s">
        <v>18</v>
      </c>
      <c r="E112" s="1" t="s">
        <v>855</v>
      </c>
      <c r="F112" s="1" t="s">
        <v>29</v>
      </c>
      <c r="G112" s="2">
        <v>45451</v>
      </c>
      <c r="H112" s="2">
        <v>45271</v>
      </c>
      <c r="I112" s="1" t="s">
        <v>76</v>
      </c>
      <c r="J112" s="1" t="s">
        <v>21</v>
      </c>
      <c r="K112" s="1" t="s">
        <v>22</v>
      </c>
      <c r="L112" s="1" t="s">
        <v>23</v>
      </c>
      <c r="M112" s="1" t="s">
        <v>24</v>
      </c>
      <c r="N112" s="1" t="s">
        <v>25</v>
      </c>
      <c r="O112" s="8">
        <v>5000</v>
      </c>
    </row>
    <row r="113" spans="1:15" ht="15.7" customHeight="1" x14ac:dyDescent="0.3">
      <c r="A113" s="1" t="s">
        <v>272</v>
      </c>
      <c r="B113" s="1" t="s">
        <v>27</v>
      </c>
      <c r="C113" s="1" t="s">
        <v>199</v>
      </c>
      <c r="D113" s="1" t="s">
        <v>18</v>
      </c>
      <c r="E113" s="1" t="s">
        <v>855</v>
      </c>
      <c r="F113" s="1" t="s">
        <v>29</v>
      </c>
      <c r="G113" s="2">
        <v>45451</v>
      </c>
      <c r="H113" s="2">
        <v>45271</v>
      </c>
      <c r="I113" s="1" t="s">
        <v>20</v>
      </c>
      <c r="J113" s="1" t="s">
        <v>21</v>
      </c>
      <c r="K113" s="1" t="s">
        <v>36</v>
      </c>
      <c r="L113" s="1" t="s">
        <v>273</v>
      </c>
      <c r="M113" s="1" t="s">
        <v>857</v>
      </c>
      <c r="N113" s="1" t="s">
        <v>25</v>
      </c>
      <c r="O113" s="8">
        <v>5000</v>
      </c>
    </row>
    <row r="114" spans="1:15" ht="15.7" customHeight="1" x14ac:dyDescent="0.3">
      <c r="A114" s="1" t="s">
        <v>274</v>
      </c>
      <c r="B114" s="1" t="s">
        <v>33</v>
      </c>
      <c r="C114" s="1" t="s">
        <v>34</v>
      </c>
      <c r="D114" s="1" t="s">
        <v>18</v>
      </c>
      <c r="E114" s="1" t="s">
        <v>855</v>
      </c>
      <c r="F114" s="1" t="s">
        <v>29</v>
      </c>
      <c r="G114" s="2">
        <v>45451</v>
      </c>
      <c r="H114" s="2">
        <v>45271</v>
      </c>
      <c r="I114" s="1" t="s">
        <v>20</v>
      </c>
      <c r="J114" s="1" t="s">
        <v>21</v>
      </c>
      <c r="K114" s="1" t="s">
        <v>36</v>
      </c>
      <c r="L114" s="1" t="s">
        <v>23</v>
      </c>
      <c r="M114" s="1" t="s">
        <v>24</v>
      </c>
      <c r="N114" s="1" t="s">
        <v>25</v>
      </c>
      <c r="O114" s="8">
        <v>5000</v>
      </c>
    </row>
    <row r="115" spans="1:15" ht="15.7" customHeight="1" x14ac:dyDescent="0.3">
      <c r="A115" s="1" t="s">
        <v>275</v>
      </c>
      <c r="B115" s="1" t="s">
        <v>40</v>
      </c>
      <c r="C115" s="1" t="s">
        <v>17</v>
      </c>
      <c r="D115" s="1" t="s">
        <v>18</v>
      </c>
      <c r="E115" s="1" t="s">
        <v>855</v>
      </c>
      <c r="F115" s="1" t="s">
        <v>29</v>
      </c>
      <c r="G115" s="2">
        <v>45451</v>
      </c>
      <c r="H115" s="2">
        <v>45271</v>
      </c>
      <c r="I115" s="1" t="s">
        <v>20</v>
      </c>
      <c r="J115" s="1" t="s">
        <v>21</v>
      </c>
      <c r="K115" s="1" t="s">
        <v>36</v>
      </c>
      <c r="L115" s="1" t="s">
        <v>276</v>
      </c>
      <c r="M115" s="1" t="s">
        <v>277</v>
      </c>
      <c r="N115" s="1" t="s">
        <v>25</v>
      </c>
      <c r="O115" s="8">
        <v>5000</v>
      </c>
    </row>
    <row r="116" spans="1:15" ht="15.7" customHeight="1" x14ac:dyDescent="0.3">
      <c r="A116" s="1" t="s">
        <v>278</v>
      </c>
      <c r="B116" s="1" t="s">
        <v>46</v>
      </c>
      <c r="C116" s="1" t="s">
        <v>34</v>
      </c>
      <c r="D116" s="1" t="s">
        <v>856</v>
      </c>
      <c r="E116" s="1" t="s">
        <v>855</v>
      </c>
      <c r="F116" s="1" t="s">
        <v>29</v>
      </c>
      <c r="G116" s="2">
        <v>45451</v>
      </c>
      <c r="H116" s="2">
        <v>45271</v>
      </c>
      <c r="I116" s="1" t="s">
        <v>20</v>
      </c>
      <c r="J116" s="1" t="s">
        <v>21</v>
      </c>
      <c r="K116" s="1" t="s">
        <v>30</v>
      </c>
      <c r="L116" s="1" t="s">
        <v>65</v>
      </c>
      <c r="M116" s="1" t="s">
        <v>277</v>
      </c>
      <c r="N116" s="1" t="s">
        <v>25</v>
      </c>
      <c r="O116" s="8">
        <v>5000</v>
      </c>
    </row>
    <row r="117" spans="1:15" ht="15.7" customHeight="1" x14ac:dyDescent="0.3">
      <c r="A117" s="1" t="s">
        <v>279</v>
      </c>
      <c r="B117" s="1" t="s">
        <v>49</v>
      </c>
      <c r="C117" s="1" t="s">
        <v>34</v>
      </c>
      <c r="D117" s="1" t="s">
        <v>164</v>
      </c>
      <c r="E117" s="1" t="s">
        <v>855</v>
      </c>
      <c r="F117" s="1" t="s">
        <v>29</v>
      </c>
      <c r="G117" s="2">
        <v>45452</v>
      </c>
      <c r="H117" s="2">
        <v>45272</v>
      </c>
      <c r="I117" s="1" t="s">
        <v>20</v>
      </c>
      <c r="J117" s="1" t="s">
        <v>21</v>
      </c>
      <c r="K117" s="1" t="s">
        <v>36</v>
      </c>
      <c r="L117" s="1" t="s">
        <v>23</v>
      </c>
      <c r="M117" s="1" t="s">
        <v>24</v>
      </c>
      <c r="N117" s="1" t="s">
        <v>25</v>
      </c>
      <c r="O117" s="8">
        <v>5000</v>
      </c>
    </row>
    <row r="118" spans="1:15" ht="15.7" customHeight="1" x14ac:dyDescent="0.3">
      <c r="A118" s="1" t="s">
        <v>280</v>
      </c>
      <c r="B118" s="1" t="s">
        <v>51</v>
      </c>
      <c r="C118" s="1" t="s">
        <v>34</v>
      </c>
      <c r="D118" s="1" t="s">
        <v>164</v>
      </c>
      <c r="E118" s="1" t="s">
        <v>855</v>
      </c>
      <c r="F118" s="1" t="s">
        <v>29</v>
      </c>
      <c r="G118" s="2">
        <v>45452</v>
      </c>
      <c r="H118" s="2">
        <v>45272</v>
      </c>
      <c r="I118" s="1" t="s">
        <v>20</v>
      </c>
      <c r="J118" s="1" t="s">
        <v>21</v>
      </c>
      <c r="K118" s="1" t="s">
        <v>22</v>
      </c>
      <c r="L118" s="1" t="s">
        <v>23</v>
      </c>
      <c r="M118" s="1" t="s">
        <v>24</v>
      </c>
      <c r="N118" s="1" t="s">
        <v>25</v>
      </c>
      <c r="O118" s="8">
        <v>5000</v>
      </c>
    </row>
    <row r="119" spans="1:15" ht="15.7" customHeight="1" x14ac:dyDescent="0.3">
      <c r="A119" s="1" t="s">
        <v>281</v>
      </c>
      <c r="B119" s="1" t="s">
        <v>282</v>
      </c>
      <c r="C119" s="1" t="s">
        <v>41</v>
      </c>
      <c r="D119" s="1" t="s">
        <v>164</v>
      </c>
      <c r="E119" s="1" t="s">
        <v>855</v>
      </c>
      <c r="F119" s="1" t="s">
        <v>29</v>
      </c>
      <c r="G119" s="2">
        <v>45452</v>
      </c>
      <c r="H119" s="2">
        <v>45272</v>
      </c>
      <c r="I119" s="1" t="s">
        <v>20</v>
      </c>
      <c r="J119" s="1" t="s">
        <v>21</v>
      </c>
      <c r="K119" s="1" t="s">
        <v>22</v>
      </c>
      <c r="L119" s="1" t="s">
        <v>91</v>
      </c>
      <c r="M119" s="1" t="s">
        <v>44</v>
      </c>
      <c r="N119" s="1" t="s">
        <v>25</v>
      </c>
      <c r="O119" s="8">
        <v>5000</v>
      </c>
    </row>
    <row r="120" spans="1:15" ht="15.7" customHeight="1" x14ac:dyDescent="0.3">
      <c r="A120" s="1" t="s">
        <v>283</v>
      </c>
      <c r="B120" s="1" t="s">
        <v>56</v>
      </c>
      <c r="C120" s="1" t="s">
        <v>17</v>
      </c>
      <c r="D120" s="1" t="s">
        <v>164</v>
      </c>
      <c r="E120" s="1" t="s">
        <v>855</v>
      </c>
      <c r="F120" s="1" t="s">
        <v>29</v>
      </c>
      <c r="G120" s="2">
        <v>45452</v>
      </c>
      <c r="H120" s="2">
        <v>45272</v>
      </c>
      <c r="I120" s="1" t="s">
        <v>20</v>
      </c>
      <c r="J120" s="1" t="s">
        <v>21</v>
      </c>
      <c r="K120" s="1" t="s">
        <v>30</v>
      </c>
      <c r="L120" s="1" t="s">
        <v>111</v>
      </c>
      <c r="M120" s="1" t="s">
        <v>44</v>
      </c>
      <c r="N120" s="1" t="s">
        <v>25</v>
      </c>
      <c r="O120" s="8">
        <v>5000</v>
      </c>
    </row>
    <row r="121" spans="1:15" ht="15.7" customHeight="1" x14ac:dyDescent="0.3">
      <c r="A121" s="1" t="s">
        <v>284</v>
      </c>
      <c r="B121" s="1" t="s">
        <v>58</v>
      </c>
      <c r="C121" s="1" t="s">
        <v>17</v>
      </c>
      <c r="D121" s="1" t="s">
        <v>164</v>
      </c>
      <c r="E121" s="1" t="s">
        <v>855</v>
      </c>
      <c r="F121" s="1" t="s">
        <v>29</v>
      </c>
      <c r="G121" s="2">
        <v>45452</v>
      </c>
      <c r="H121" s="2">
        <v>45272</v>
      </c>
      <c r="I121" s="1" t="s">
        <v>20</v>
      </c>
      <c r="J121" s="1" t="s">
        <v>21</v>
      </c>
      <c r="K121" s="1" t="s">
        <v>110</v>
      </c>
      <c r="L121" s="1" t="s">
        <v>214</v>
      </c>
      <c r="M121" s="1" t="s">
        <v>24</v>
      </c>
      <c r="N121" s="1" t="s">
        <v>25</v>
      </c>
      <c r="O121" s="8">
        <v>5000</v>
      </c>
    </row>
    <row r="122" spans="1:15" ht="15.7" customHeight="1" x14ac:dyDescent="0.3">
      <c r="A122" s="1" t="s">
        <v>285</v>
      </c>
      <c r="B122" s="1" t="s">
        <v>60</v>
      </c>
      <c r="C122" s="1" t="s">
        <v>199</v>
      </c>
      <c r="D122" s="1" t="s">
        <v>188</v>
      </c>
      <c r="E122" s="1" t="s">
        <v>855</v>
      </c>
      <c r="F122" s="1" t="s">
        <v>29</v>
      </c>
      <c r="G122" s="2">
        <v>45452</v>
      </c>
      <c r="H122" s="2">
        <v>45272</v>
      </c>
      <c r="I122" s="1" t="s">
        <v>20</v>
      </c>
      <c r="J122" s="1" t="s">
        <v>35</v>
      </c>
      <c r="K122" s="1" t="s">
        <v>22</v>
      </c>
      <c r="L122" s="1" t="s">
        <v>286</v>
      </c>
      <c r="M122" s="1" t="s">
        <v>277</v>
      </c>
      <c r="N122" s="1" t="s">
        <v>25</v>
      </c>
      <c r="O122" s="8">
        <v>5000</v>
      </c>
    </row>
    <row r="123" spans="1:15" ht="15.7" customHeight="1" x14ac:dyDescent="0.3">
      <c r="A123" s="1" t="s">
        <v>287</v>
      </c>
      <c r="B123" s="1" t="s">
        <v>62</v>
      </c>
      <c r="C123" s="1" t="s">
        <v>199</v>
      </c>
      <c r="D123" s="1" t="s">
        <v>170</v>
      </c>
      <c r="E123" s="1" t="s">
        <v>855</v>
      </c>
      <c r="F123" s="1" t="s">
        <v>29</v>
      </c>
      <c r="G123" s="2">
        <v>45452</v>
      </c>
      <c r="H123" s="2">
        <v>45272</v>
      </c>
      <c r="I123" s="1" t="s">
        <v>20</v>
      </c>
      <c r="J123" s="1" t="s">
        <v>21</v>
      </c>
      <c r="K123" s="1" t="s">
        <v>22</v>
      </c>
      <c r="L123" s="1" t="s">
        <v>167</v>
      </c>
      <c r="M123" s="1" t="s">
        <v>857</v>
      </c>
      <c r="N123" s="1" t="s">
        <v>25</v>
      </c>
      <c r="O123" s="8">
        <v>5000</v>
      </c>
    </row>
    <row r="124" spans="1:15" ht="15.7" customHeight="1" x14ac:dyDescent="0.3">
      <c r="A124" s="1" t="s">
        <v>288</v>
      </c>
      <c r="B124" s="1" t="s">
        <v>64</v>
      </c>
      <c r="C124" s="1" t="s">
        <v>17</v>
      </c>
      <c r="D124" s="1" t="s">
        <v>193</v>
      </c>
      <c r="E124" s="1" t="s">
        <v>855</v>
      </c>
      <c r="F124" s="1" t="s">
        <v>29</v>
      </c>
      <c r="G124" s="2">
        <v>45452</v>
      </c>
      <c r="H124" s="2">
        <v>45272</v>
      </c>
      <c r="I124" s="1" t="s">
        <v>20</v>
      </c>
      <c r="J124" s="1" t="s">
        <v>21</v>
      </c>
      <c r="K124" s="1" t="s">
        <v>22</v>
      </c>
      <c r="L124" s="1" t="s">
        <v>37</v>
      </c>
      <c r="M124" s="1" t="s">
        <v>277</v>
      </c>
      <c r="N124" s="1" t="s">
        <v>25</v>
      </c>
      <c r="O124" s="8">
        <v>5000</v>
      </c>
    </row>
    <row r="125" spans="1:15" ht="15.7" customHeight="1" x14ac:dyDescent="0.3">
      <c r="A125" s="1" t="s">
        <v>289</v>
      </c>
      <c r="B125" s="1" t="s">
        <v>67</v>
      </c>
      <c r="C125" s="1" t="s">
        <v>17</v>
      </c>
      <c r="D125" s="1" t="s">
        <v>196</v>
      </c>
      <c r="E125" s="1" t="s">
        <v>855</v>
      </c>
      <c r="F125" s="1" t="s">
        <v>29</v>
      </c>
      <c r="G125" s="2">
        <v>45452</v>
      </c>
      <c r="H125" s="2">
        <v>45272</v>
      </c>
      <c r="I125" s="1" t="s">
        <v>20</v>
      </c>
      <c r="J125" s="1" t="s">
        <v>21</v>
      </c>
      <c r="K125" s="1" t="s">
        <v>30</v>
      </c>
      <c r="L125" s="1" t="s">
        <v>23</v>
      </c>
      <c r="M125" s="1" t="s">
        <v>24</v>
      </c>
      <c r="N125" s="1" t="s">
        <v>25</v>
      </c>
      <c r="O125" s="8">
        <v>5000</v>
      </c>
    </row>
    <row r="126" spans="1:15" ht="15.7" customHeight="1" x14ac:dyDescent="0.3">
      <c r="A126" s="1" t="s">
        <v>290</v>
      </c>
      <c r="B126" s="1" t="s">
        <v>70</v>
      </c>
      <c r="C126" s="1" t="s">
        <v>17</v>
      </c>
      <c r="D126" s="1" t="s">
        <v>18</v>
      </c>
      <c r="E126" s="1" t="s">
        <v>855</v>
      </c>
      <c r="F126" s="1" t="s">
        <v>29</v>
      </c>
      <c r="G126" s="2">
        <v>45452</v>
      </c>
      <c r="H126" s="2">
        <v>45272</v>
      </c>
      <c r="I126" s="1" t="s">
        <v>20</v>
      </c>
      <c r="J126" s="1" t="s">
        <v>21</v>
      </c>
      <c r="K126" s="1" t="s">
        <v>22</v>
      </c>
      <c r="L126" s="1" t="s">
        <v>23</v>
      </c>
      <c r="M126" s="1" t="s">
        <v>24</v>
      </c>
      <c r="N126" s="1" t="s">
        <v>25</v>
      </c>
      <c r="O126" s="8">
        <v>5000</v>
      </c>
    </row>
    <row r="127" spans="1:15" ht="15.7" customHeight="1" x14ac:dyDescent="0.3">
      <c r="A127" s="1" t="s">
        <v>291</v>
      </c>
      <c r="B127" s="1" t="s">
        <v>72</v>
      </c>
      <c r="C127" s="1" t="s">
        <v>17</v>
      </c>
      <c r="D127" s="1" t="s">
        <v>18</v>
      </c>
      <c r="E127" s="1" t="s">
        <v>855</v>
      </c>
      <c r="F127" s="1" t="s">
        <v>29</v>
      </c>
      <c r="G127" s="2">
        <v>45452</v>
      </c>
      <c r="H127" s="2">
        <v>45272</v>
      </c>
      <c r="I127" s="1" t="s">
        <v>20</v>
      </c>
      <c r="J127" s="1" t="s">
        <v>21</v>
      </c>
      <c r="K127" s="1" t="s">
        <v>36</v>
      </c>
      <c r="L127" s="1" t="s">
        <v>292</v>
      </c>
      <c r="M127" s="1" t="s">
        <v>44</v>
      </c>
      <c r="N127" s="1" t="s">
        <v>25</v>
      </c>
      <c r="O127" s="8">
        <v>52542</v>
      </c>
    </row>
    <row r="128" spans="1:15" ht="15.7" customHeight="1" x14ac:dyDescent="0.3">
      <c r="A128" s="1" t="s">
        <v>293</v>
      </c>
      <c r="B128" s="1" t="s">
        <v>74</v>
      </c>
      <c r="C128" s="1" t="s">
        <v>41</v>
      </c>
      <c r="D128" s="1" t="s">
        <v>18</v>
      </c>
      <c r="E128" s="1" t="s">
        <v>855</v>
      </c>
      <c r="F128" s="1" t="s">
        <v>29</v>
      </c>
      <c r="G128" s="2">
        <v>45452</v>
      </c>
      <c r="H128" s="2">
        <v>45272</v>
      </c>
      <c r="I128" s="1" t="s">
        <v>76</v>
      </c>
      <c r="J128" s="1" t="s">
        <v>35</v>
      </c>
      <c r="K128" s="1" t="s">
        <v>36</v>
      </c>
      <c r="L128" s="1" t="s">
        <v>214</v>
      </c>
      <c r="M128" s="1" t="s">
        <v>24</v>
      </c>
      <c r="N128" s="1" t="s">
        <v>25</v>
      </c>
      <c r="O128" s="8">
        <v>5000</v>
      </c>
    </row>
    <row r="129" spans="1:15" ht="15.7" customHeight="1" x14ac:dyDescent="0.3">
      <c r="A129" s="1" t="s">
        <v>294</v>
      </c>
      <c r="B129" s="1" t="s">
        <v>78</v>
      </c>
      <c r="C129" s="1" t="s">
        <v>34</v>
      </c>
      <c r="D129" s="1" t="s">
        <v>18</v>
      </c>
      <c r="E129" s="1" t="s">
        <v>855</v>
      </c>
      <c r="F129" s="1" t="s">
        <v>29</v>
      </c>
      <c r="G129" s="2">
        <v>45452</v>
      </c>
      <c r="H129" s="2">
        <v>45272</v>
      </c>
      <c r="I129" s="1" t="s">
        <v>20</v>
      </c>
      <c r="J129" s="1" t="s">
        <v>21</v>
      </c>
      <c r="K129" s="1" t="s">
        <v>30</v>
      </c>
      <c r="L129" s="1" t="s">
        <v>214</v>
      </c>
      <c r="M129" s="1" t="s">
        <v>24</v>
      </c>
      <c r="N129" s="1" t="s">
        <v>25</v>
      </c>
      <c r="O129" s="8">
        <v>5000</v>
      </c>
    </row>
    <row r="130" spans="1:15" ht="15.7" customHeight="1" x14ac:dyDescent="0.3">
      <c r="A130" s="1" t="s">
        <v>295</v>
      </c>
      <c r="B130" s="1" t="s">
        <v>80</v>
      </c>
      <c r="C130" s="1" t="s">
        <v>34</v>
      </c>
      <c r="D130" s="1" t="s">
        <v>18</v>
      </c>
      <c r="E130" s="1" t="s">
        <v>855</v>
      </c>
      <c r="F130" s="1" t="s">
        <v>29</v>
      </c>
      <c r="G130" s="2">
        <v>45452</v>
      </c>
      <c r="H130" s="2">
        <v>45272</v>
      </c>
      <c r="I130" s="1" t="s">
        <v>20</v>
      </c>
      <c r="J130" s="1" t="s">
        <v>21</v>
      </c>
      <c r="K130" s="1" t="s">
        <v>22</v>
      </c>
      <c r="L130" s="1" t="s">
        <v>214</v>
      </c>
      <c r="M130" s="1" t="s">
        <v>24</v>
      </c>
      <c r="N130" s="1" t="s">
        <v>25</v>
      </c>
      <c r="O130" s="8">
        <v>5000</v>
      </c>
    </row>
    <row r="131" spans="1:15" ht="15.7" customHeight="1" x14ac:dyDescent="0.3">
      <c r="A131" s="1" t="s">
        <v>296</v>
      </c>
      <c r="B131" s="1" t="s">
        <v>82</v>
      </c>
      <c r="C131" s="1" t="s">
        <v>34</v>
      </c>
      <c r="D131" s="1" t="s">
        <v>18</v>
      </c>
      <c r="E131" s="1" t="s">
        <v>855</v>
      </c>
      <c r="F131" s="1" t="s">
        <v>29</v>
      </c>
      <c r="G131" s="2">
        <v>45452</v>
      </c>
      <c r="H131" s="2">
        <v>45272</v>
      </c>
      <c r="I131" s="1" t="s">
        <v>20</v>
      </c>
      <c r="J131" s="1" t="s">
        <v>21</v>
      </c>
      <c r="K131" s="1" t="s">
        <v>30</v>
      </c>
      <c r="L131" s="1" t="s">
        <v>214</v>
      </c>
      <c r="M131" s="1" t="s">
        <v>24</v>
      </c>
      <c r="N131" s="1" t="s">
        <v>25</v>
      </c>
      <c r="O131" s="8">
        <v>5000</v>
      </c>
    </row>
    <row r="132" spans="1:15" ht="15.7" customHeight="1" x14ac:dyDescent="0.3">
      <c r="A132" s="1" t="s">
        <v>297</v>
      </c>
      <c r="B132" s="1" t="s">
        <v>84</v>
      </c>
      <c r="C132" s="1" t="s">
        <v>41</v>
      </c>
      <c r="D132" s="1" t="s">
        <v>18</v>
      </c>
      <c r="E132" s="1" t="s">
        <v>855</v>
      </c>
      <c r="F132" s="1" t="s">
        <v>29</v>
      </c>
      <c r="G132" s="2">
        <v>45452</v>
      </c>
      <c r="H132" s="2">
        <v>45272</v>
      </c>
      <c r="I132" s="1" t="s">
        <v>20</v>
      </c>
      <c r="J132" s="1" t="s">
        <v>35</v>
      </c>
      <c r="K132" s="1" t="s">
        <v>22</v>
      </c>
      <c r="L132" s="1" t="s">
        <v>214</v>
      </c>
      <c r="M132" s="1" t="s">
        <v>24</v>
      </c>
      <c r="N132" s="1" t="s">
        <v>25</v>
      </c>
      <c r="O132" s="8">
        <v>5000</v>
      </c>
    </row>
    <row r="133" spans="1:15" ht="15.7" customHeight="1" x14ac:dyDescent="0.3">
      <c r="A133" s="1" t="s">
        <v>298</v>
      </c>
      <c r="B133" s="1" t="s">
        <v>86</v>
      </c>
      <c r="C133" s="1" t="s">
        <v>34</v>
      </c>
      <c r="D133" s="1" t="s">
        <v>18</v>
      </c>
      <c r="E133" s="1" t="s">
        <v>855</v>
      </c>
      <c r="F133" s="1" t="s">
        <v>29</v>
      </c>
      <c r="G133" s="2">
        <v>45452</v>
      </c>
      <c r="H133" s="2">
        <v>45272</v>
      </c>
      <c r="I133" s="1" t="s">
        <v>20</v>
      </c>
      <c r="J133" s="1" t="s">
        <v>21</v>
      </c>
      <c r="K133" s="1" t="s">
        <v>110</v>
      </c>
      <c r="L133" s="1" t="s">
        <v>214</v>
      </c>
      <c r="M133" s="1" t="s">
        <v>24</v>
      </c>
      <c r="N133" s="1" t="s">
        <v>25</v>
      </c>
      <c r="O133" s="8">
        <v>5000</v>
      </c>
    </row>
    <row r="134" spans="1:15" ht="15.7" customHeight="1" x14ac:dyDescent="0.3">
      <c r="A134" s="1" t="s">
        <v>299</v>
      </c>
      <c r="B134" s="1" t="s">
        <v>300</v>
      </c>
      <c r="C134" s="1" t="s">
        <v>17</v>
      </c>
      <c r="D134" s="1" t="s">
        <v>18</v>
      </c>
      <c r="E134" s="1" t="s">
        <v>855</v>
      </c>
      <c r="F134" s="1" t="s">
        <v>29</v>
      </c>
      <c r="G134" s="2">
        <v>45452</v>
      </c>
      <c r="H134" s="2">
        <v>45272</v>
      </c>
      <c r="I134" s="1" t="s">
        <v>20</v>
      </c>
      <c r="J134" s="1" t="s">
        <v>35</v>
      </c>
      <c r="K134" s="1" t="s">
        <v>22</v>
      </c>
      <c r="L134" s="1" t="s">
        <v>301</v>
      </c>
      <c r="M134" s="1" t="s">
        <v>277</v>
      </c>
      <c r="N134" s="1" t="s">
        <v>25</v>
      </c>
      <c r="O134" s="8">
        <v>5000</v>
      </c>
    </row>
    <row r="135" spans="1:15" ht="15.7" customHeight="1" x14ac:dyDescent="0.3">
      <c r="A135" s="1" t="s">
        <v>302</v>
      </c>
      <c r="B135" s="1" t="s">
        <v>303</v>
      </c>
      <c r="C135" s="1" t="s">
        <v>34</v>
      </c>
      <c r="D135" s="1" t="s">
        <v>18</v>
      </c>
      <c r="E135" s="1" t="s">
        <v>855</v>
      </c>
      <c r="F135" s="1" t="s">
        <v>29</v>
      </c>
      <c r="G135" s="2">
        <v>45452</v>
      </c>
      <c r="H135" s="2">
        <v>45272</v>
      </c>
      <c r="I135" s="1" t="s">
        <v>20</v>
      </c>
      <c r="J135" s="1" t="s">
        <v>21</v>
      </c>
      <c r="K135" s="1" t="s">
        <v>22</v>
      </c>
      <c r="L135" s="1" t="s">
        <v>214</v>
      </c>
      <c r="M135" s="1" t="s">
        <v>24</v>
      </c>
      <c r="N135" s="1" t="s">
        <v>25</v>
      </c>
      <c r="O135" s="8">
        <v>5000</v>
      </c>
    </row>
    <row r="136" spans="1:15" ht="15.7" customHeight="1" x14ac:dyDescent="0.3">
      <c r="A136" s="1" t="s">
        <v>304</v>
      </c>
      <c r="B136" s="1" t="s">
        <v>305</v>
      </c>
      <c r="C136" s="1" t="s">
        <v>34</v>
      </c>
      <c r="D136" s="1" t="s">
        <v>18</v>
      </c>
      <c r="E136" s="1" t="s">
        <v>855</v>
      </c>
      <c r="F136" s="1" t="s">
        <v>29</v>
      </c>
      <c r="G136" s="2">
        <v>45452</v>
      </c>
      <c r="H136" s="2">
        <v>45272</v>
      </c>
      <c r="I136" s="1" t="s">
        <v>20</v>
      </c>
      <c r="J136" s="1" t="s">
        <v>21</v>
      </c>
      <c r="K136" s="1" t="s">
        <v>22</v>
      </c>
      <c r="L136" s="1" t="s">
        <v>23</v>
      </c>
      <c r="M136" s="1" t="s">
        <v>24</v>
      </c>
      <c r="N136" s="1" t="s">
        <v>25</v>
      </c>
      <c r="O136" s="8">
        <v>5000</v>
      </c>
    </row>
    <row r="137" spans="1:15" ht="15.7" customHeight="1" x14ac:dyDescent="0.3">
      <c r="A137" s="1" t="s">
        <v>306</v>
      </c>
      <c r="B137" s="1" t="s">
        <v>307</v>
      </c>
      <c r="C137" s="1" t="s">
        <v>34</v>
      </c>
      <c r="D137" s="1" t="s">
        <v>18</v>
      </c>
      <c r="E137" s="1" t="s">
        <v>855</v>
      </c>
      <c r="F137" s="1" t="s">
        <v>29</v>
      </c>
      <c r="G137" s="2">
        <v>45452</v>
      </c>
      <c r="H137" s="2">
        <v>45272</v>
      </c>
      <c r="I137" s="1" t="s">
        <v>20</v>
      </c>
      <c r="J137" s="1" t="s">
        <v>21</v>
      </c>
      <c r="K137" s="1" t="s">
        <v>54</v>
      </c>
      <c r="L137" s="1" t="s">
        <v>214</v>
      </c>
      <c r="M137" s="1" t="s">
        <v>24</v>
      </c>
      <c r="N137" s="1" t="s">
        <v>25</v>
      </c>
      <c r="O137" s="8">
        <v>5000</v>
      </c>
    </row>
    <row r="138" spans="1:15" ht="15.7" customHeight="1" x14ac:dyDescent="0.3">
      <c r="A138" s="1" t="s">
        <v>308</v>
      </c>
      <c r="B138" s="1" t="s">
        <v>309</v>
      </c>
      <c r="C138" s="1" t="s">
        <v>34</v>
      </c>
      <c r="D138" s="1" t="s">
        <v>18</v>
      </c>
      <c r="E138" s="1" t="s">
        <v>855</v>
      </c>
      <c r="F138" s="1" t="s">
        <v>29</v>
      </c>
      <c r="G138" s="2">
        <v>45452</v>
      </c>
      <c r="H138" s="2">
        <v>45272</v>
      </c>
      <c r="I138" s="1" t="s">
        <v>20</v>
      </c>
      <c r="J138" s="1" t="s">
        <v>35</v>
      </c>
      <c r="K138" s="1" t="s">
        <v>36</v>
      </c>
      <c r="L138" s="1" t="s">
        <v>214</v>
      </c>
      <c r="M138" s="1" t="s">
        <v>24</v>
      </c>
      <c r="N138" s="1" t="s">
        <v>25</v>
      </c>
      <c r="O138" s="8">
        <v>5000</v>
      </c>
    </row>
    <row r="139" spans="1:15" ht="15.7" customHeight="1" x14ac:dyDescent="0.3">
      <c r="A139" s="1" t="s">
        <v>310</v>
      </c>
      <c r="B139" s="1" t="s">
        <v>311</v>
      </c>
      <c r="C139" s="1" t="s">
        <v>17</v>
      </c>
      <c r="D139" s="1" t="s">
        <v>18</v>
      </c>
      <c r="E139" s="1" t="s">
        <v>855</v>
      </c>
      <c r="F139" s="1" t="s">
        <v>29</v>
      </c>
      <c r="G139" s="2">
        <v>45452</v>
      </c>
      <c r="H139" s="2">
        <v>45272</v>
      </c>
      <c r="I139" s="1" t="s">
        <v>76</v>
      </c>
      <c r="J139" s="1" t="s">
        <v>35</v>
      </c>
      <c r="K139" s="1" t="s">
        <v>54</v>
      </c>
      <c r="L139" s="1" t="s">
        <v>23</v>
      </c>
      <c r="M139" s="1" t="s">
        <v>24</v>
      </c>
      <c r="N139" s="1" t="s">
        <v>25</v>
      </c>
      <c r="O139" s="8">
        <v>5000</v>
      </c>
    </row>
    <row r="140" spans="1:15" ht="15.7" customHeight="1" x14ac:dyDescent="0.3">
      <c r="A140" s="1" t="s">
        <v>312</v>
      </c>
      <c r="B140" s="1" t="s">
        <v>313</v>
      </c>
      <c r="C140" s="1" t="s">
        <v>41</v>
      </c>
      <c r="D140" s="1" t="s">
        <v>18</v>
      </c>
      <c r="E140" s="1" t="s">
        <v>855</v>
      </c>
      <c r="F140" s="1" t="s">
        <v>29</v>
      </c>
      <c r="G140" s="2">
        <v>45452</v>
      </c>
      <c r="H140" s="2">
        <v>45272</v>
      </c>
      <c r="I140" s="1" t="s">
        <v>76</v>
      </c>
      <c r="J140" s="1" t="s">
        <v>21</v>
      </c>
      <c r="K140" s="1" t="s">
        <v>54</v>
      </c>
      <c r="L140" s="1" t="s">
        <v>23</v>
      </c>
      <c r="M140" s="1" t="s">
        <v>24</v>
      </c>
      <c r="N140" s="1" t="s">
        <v>25</v>
      </c>
      <c r="O140" s="8">
        <v>5000</v>
      </c>
    </row>
    <row r="141" spans="1:15" ht="15.7" customHeight="1" x14ac:dyDescent="0.3">
      <c r="A141" s="1" t="s">
        <v>314</v>
      </c>
      <c r="B141" s="1" t="s">
        <v>315</v>
      </c>
      <c r="C141" s="1" t="s">
        <v>17</v>
      </c>
      <c r="D141" s="1" t="s">
        <v>18</v>
      </c>
      <c r="E141" s="1" t="s">
        <v>855</v>
      </c>
      <c r="F141" s="1" t="s">
        <v>29</v>
      </c>
      <c r="G141" s="2">
        <v>45452</v>
      </c>
      <c r="H141" s="2">
        <v>45272</v>
      </c>
      <c r="I141" s="1" t="s">
        <v>76</v>
      </c>
      <c r="J141" s="1" t="s">
        <v>35</v>
      </c>
      <c r="K141" s="1" t="s">
        <v>30</v>
      </c>
      <c r="L141" s="1" t="s">
        <v>119</v>
      </c>
      <c r="M141" s="1" t="s">
        <v>44</v>
      </c>
      <c r="N141" s="1" t="s">
        <v>25</v>
      </c>
      <c r="O141" s="8">
        <v>5000</v>
      </c>
    </row>
    <row r="142" spans="1:15" ht="15.7" customHeight="1" x14ac:dyDescent="0.3">
      <c r="A142" s="1" t="s">
        <v>316</v>
      </c>
      <c r="B142" s="1" t="s">
        <v>317</v>
      </c>
      <c r="C142" s="1" t="s">
        <v>41</v>
      </c>
      <c r="D142" s="1" t="s">
        <v>18</v>
      </c>
      <c r="E142" s="1" t="s">
        <v>855</v>
      </c>
      <c r="F142" s="1" t="s">
        <v>29</v>
      </c>
      <c r="G142" s="2">
        <v>45452</v>
      </c>
      <c r="H142" s="2">
        <v>45272</v>
      </c>
      <c r="I142" s="1" t="s">
        <v>76</v>
      </c>
      <c r="J142" s="1" t="s">
        <v>21</v>
      </c>
      <c r="K142" s="1" t="s">
        <v>30</v>
      </c>
      <c r="L142" s="1" t="s">
        <v>111</v>
      </c>
      <c r="M142" s="1" t="s">
        <v>44</v>
      </c>
      <c r="N142" s="1" t="s">
        <v>25</v>
      </c>
      <c r="O142" s="8">
        <v>5000</v>
      </c>
    </row>
    <row r="143" spans="1:15" ht="15.7" customHeight="1" x14ac:dyDescent="0.3">
      <c r="A143" s="1" t="s">
        <v>318</v>
      </c>
      <c r="B143" s="1" t="s">
        <v>319</v>
      </c>
      <c r="C143" s="1" t="s">
        <v>41</v>
      </c>
      <c r="D143" s="1" t="s">
        <v>18</v>
      </c>
      <c r="E143" s="1" t="s">
        <v>855</v>
      </c>
      <c r="F143" s="1" t="s">
        <v>29</v>
      </c>
      <c r="G143" s="2">
        <v>45452</v>
      </c>
      <c r="H143" s="2">
        <v>45272</v>
      </c>
      <c r="I143" s="1" t="s">
        <v>76</v>
      </c>
      <c r="J143" s="1" t="s">
        <v>21</v>
      </c>
      <c r="K143" s="1" t="s">
        <v>54</v>
      </c>
      <c r="L143" s="1" t="s">
        <v>91</v>
      </c>
      <c r="M143" s="1" t="s">
        <v>44</v>
      </c>
      <c r="N143" s="1" t="s">
        <v>25</v>
      </c>
      <c r="O143" s="8">
        <v>5000</v>
      </c>
    </row>
    <row r="144" spans="1:15" ht="15.7" customHeight="1" x14ac:dyDescent="0.3">
      <c r="A144" s="1" t="s">
        <v>320</v>
      </c>
      <c r="B144" s="1" t="s">
        <v>321</v>
      </c>
      <c r="C144" s="1" t="s">
        <v>41</v>
      </c>
      <c r="D144" s="1" t="s">
        <v>18</v>
      </c>
      <c r="E144" s="1" t="s">
        <v>855</v>
      </c>
      <c r="F144" s="1" t="s">
        <v>29</v>
      </c>
      <c r="G144" s="2">
        <v>45452</v>
      </c>
      <c r="H144" s="2">
        <v>45272</v>
      </c>
      <c r="I144" s="1" t="s">
        <v>76</v>
      </c>
      <c r="J144" s="1" t="s">
        <v>21</v>
      </c>
      <c r="K144" s="1" t="s">
        <v>36</v>
      </c>
      <c r="L144" s="1" t="s">
        <v>91</v>
      </c>
      <c r="M144" s="1" t="s">
        <v>44</v>
      </c>
      <c r="N144" s="1" t="s">
        <v>25</v>
      </c>
      <c r="O144" s="8">
        <v>5000</v>
      </c>
    </row>
    <row r="145" spans="1:15" ht="15.7" customHeight="1" x14ac:dyDescent="0.3">
      <c r="A145" s="1" t="s">
        <v>322</v>
      </c>
      <c r="B145" s="1" t="s">
        <v>323</v>
      </c>
      <c r="C145" s="1" t="s">
        <v>41</v>
      </c>
      <c r="D145" s="1" t="s">
        <v>18</v>
      </c>
      <c r="E145" s="1" t="s">
        <v>855</v>
      </c>
      <c r="F145" s="1" t="s">
        <v>29</v>
      </c>
      <c r="G145" s="2">
        <v>45452</v>
      </c>
      <c r="H145" s="2">
        <v>45272</v>
      </c>
      <c r="I145" s="1" t="s">
        <v>76</v>
      </c>
      <c r="J145" s="1" t="s">
        <v>21</v>
      </c>
      <c r="K145" s="1" t="s">
        <v>30</v>
      </c>
      <c r="L145" s="1" t="s">
        <v>23</v>
      </c>
      <c r="M145" s="1" t="s">
        <v>24</v>
      </c>
      <c r="N145" s="1" t="s">
        <v>25</v>
      </c>
      <c r="O145" s="8">
        <v>5000</v>
      </c>
    </row>
    <row r="146" spans="1:15" ht="15.7" customHeight="1" x14ac:dyDescent="0.3">
      <c r="A146" s="1" t="s">
        <v>324</v>
      </c>
      <c r="B146" s="1" t="s">
        <v>325</v>
      </c>
      <c r="C146" s="1" t="s">
        <v>17</v>
      </c>
      <c r="D146" s="1" t="s">
        <v>18</v>
      </c>
      <c r="E146" s="1" t="s">
        <v>855</v>
      </c>
      <c r="F146" s="1" t="s">
        <v>29</v>
      </c>
      <c r="G146" s="2">
        <v>45452</v>
      </c>
      <c r="H146" s="2">
        <v>45272</v>
      </c>
      <c r="I146" s="1" t="s">
        <v>20</v>
      </c>
      <c r="J146" s="1" t="s">
        <v>21</v>
      </c>
      <c r="K146" s="1" t="s">
        <v>36</v>
      </c>
      <c r="L146" s="1" t="s">
        <v>23</v>
      </c>
      <c r="M146" s="1" t="s">
        <v>24</v>
      </c>
      <c r="N146" s="1" t="s">
        <v>25</v>
      </c>
      <c r="O146" s="8">
        <v>5000</v>
      </c>
    </row>
    <row r="147" spans="1:15" ht="15.7" customHeight="1" x14ac:dyDescent="0.3">
      <c r="A147" s="1" t="s">
        <v>326</v>
      </c>
      <c r="B147" s="1" t="s">
        <v>327</v>
      </c>
      <c r="C147" s="1" t="s">
        <v>34</v>
      </c>
      <c r="D147" s="1" t="s">
        <v>18</v>
      </c>
      <c r="E147" s="1" t="s">
        <v>855</v>
      </c>
      <c r="F147" s="1" t="s">
        <v>29</v>
      </c>
      <c r="G147" s="2">
        <v>45452</v>
      </c>
      <c r="H147" s="2">
        <v>45272</v>
      </c>
      <c r="I147" s="1" t="s">
        <v>20</v>
      </c>
      <c r="J147" s="1" t="s">
        <v>21</v>
      </c>
      <c r="K147" s="1" t="s">
        <v>54</v>
      </c>
      <c r="L147" s="1" t="s">
        <v>23</v>
      </c>
      <c r="M147" s="1" t="s">
        <v>24</v>
      </c>
      <c r="N147" s="1" t="s">
        <v>25</v>
      </c>
      <c r="O147" s="8">
        <v>5000</v>
      </c>
    </row>
    <row r="148" spans="1:15" ht="15.7" customHeight="1" x14ac:dyDescent="0.3">
      <c r="A148" s="1" t="s">
        <v>328</v>
      </c>
      <c r="B148" s="1" t="s">
        <v>329</v>
      </c>
      <c r="C148" s="1" t="s">
        <v>34</v>
      </c>
      <c r="D148" s="1" t="s">
        <v>18</v>
      </c>
      <c r="E148" s="1" t="s">
        <v>855</v>
      </c>
      <c r="F148" s="1" t="s">
        <v>29</v>
      </c>
      <c r="G148" s="2">
        <v>45452</v>
      </c>
      <c r="H148" s="2">
        <v>45272</v>
      </c>
      <c r="I148" s="1" t="s">
        <v>20</v>
      </c>
      <c r="J148" s="1" t="s">
        <v>21</v>
      </c>
      <c r="K148" s="1" t="s">
        <v>22</v>
      </c>
      <c r="L148" s="1" t="s">
        <v>23</v>
      </c>
      <c r="M148" s="1" t="s">
        <v>24</v>
      </c>
      <c r="N148" s="1" t="s">
        <v>25</v>
      </c>
      <c r="O148" s="8">
        <v>5000</v>
      </c>
    </row>
    <row r="149" spans="1:15" ht="15.7" customHeight="1" x14ac:dyDescent="0.3">
      <c r="A149" s="1" t="s">
        <v>330</v>
      </c>
      <c r="B149" s="1" t="s">
        <v>331</v>
      </c>
      <c r="C149" s="1" t="s">
        <v>34</v>
      </c>
      <c r="D149" s="1" t="s">
        <v>18</v>
      </c>
      <c r="E149" s="1" t="s">
        <v>855</v>
      </c>
      <c r="F149" s="1" t="s">
        <v>29</v>
      </c>
      <c r="G149" s="2">
        <v>45452</v>
      </c>
      <c r="H149" s="2">
        <v>45272</v>
      </c>
      <c r="I149" s="1" t="s">
        <v>20</v>
      </c>
      <c r="J149" s="1" t="s">
        <v>21</v>
      </c>
      <c r="K149" s="1" t="s">
        <v>30</v>
      </c>
      <c r="L149" s="1" t="s">
        <v>23</v>
      </c>
      <c r="M149" s="1" t="s">
        <v>24</v>
      </c>
      <c r="N149" s="1" t="s">
        <v>25</v>
      </c>
      <c r="O149" s="8">
        <v>5000</v>
      </c>
    </row>
    <row r="150" spans="1:15" ht="15.7" customHeight="1" x14ac:dyDescent="0.3">
      <c r="A150" s="1" t="s">
        <v>332</v>
      </c>
      <c r="B150" s="1" t="s">
        <v>333</v>
      </c>
      <c r="C150" s="1" t="s">
        <v>41</v>
      </c>
      <c r="D150" s="1" t="s">
        <v>18</v>
      </c>
      <c r="E150" s="1" t="s">
        <v>855</v>
      </c>
      <c r="F150" s="1" t="s">
        <v>29</v>
      </c>
      <c r="G150" s="2">
        <v>45452</v>
      </c>
      <c r="H150" s="2">
        <v>45272</v>
      </c>
      <c r="I150" s="1" t="s">
        <v>20</v>
      </c>
      <c r="J150" s="1" t="s">
        <v>21</v>
      </c>
      <c r="K150" s="1" t="s">
        <v>36</v>
      </c>
      <c r="L150" s="1" t="s">
        <v>23</v>
      </c>
      <c r="M150" s="1" t="s">
        <v>24</v>
      </c>
      <c r="N150" s="1" t="s">
        <v>25</v>
      </c>
      <c r="O150" s="8">
        <v>5000</v>
      </c>
    </row>
    <row r="151" spans="1:15" ht="15.7" customHeight="1" x14ac:dyDescent="0.3">
      <c r="A151" s="1" t="s">
        <v>334</v>
      </c>
      <c r="B151" s="1" t="s">
        <v>335</v>
      </c>
      <c r="C151" s="1" t="s">
        <v>17</v>
      </c>
      <c r="D151" s="1" t="s">
        <v>18</v>
      </c>
      <c r="E151" s="1" t="s">
        <v>855</v>
      </c>
      <c r="F151" s="1" t="s">
        <v>29</v>
      </c>
      <c r="G151" s="2">
        <v>45452</v>
      </c>
      <c r="H151" s="2">
        <v>45272</v>
      </c>
      <c r="I151" s="1" t="s">
        <v>20</v>
      </c>
      <c r="J151" s="1" t="s">
        <v>21</v>
      </c>
      <c r="K151" s="1" t="s">
        <v>36</v>
      </c>
      <c r="L151" s="1" t="s">
        <v>91</v>
      </c>
      <c r="M151" s="1" t="s">
        <v>44</v>
      </c>
      <c r="N151" s="1" t="s">
        <v>25</v>
      </c>
      <c r="O151" s="8">
        <v>5000</v>
      </c>
    </row>
    <row r="152" spans="1:15" ht="15.7" customHeight="1" x14ac:dyDescent="0.3">
      <c r="A152" s="1" t="s">
        <v>336</v>
      </c>
      <c r="B152" s="1" t="s">
        <v>337</v>
      </c>
      <c r="C152" s="1" t="s">
        <v>199</v>
      </c>
      <c r="D152" s="1" t="s">
        <v>18</v>
      </c>
      <c r="E152" s="1" t="s">
        <v>855</v>
      </c>
      <c r="F152" s="1" t="s">
        <v>29</v>
      </c>
      <c r="G152" s="2">
        <v>45452</v>
      </c>
      <c r="H152" s="2">
        <v>45272</v>
      </c>
      <c r="I152" s="1" t="s">
        <v>20</v>
      </c>
      <c r="J152" s="1" t="s">
        <v>21</v>
      </c>
      <c r="K152" s="1" t="s">
        <v>30</v>
      </c>
      <c r="L152" s="1" t="s">
        <v>111</v>
      </c>
      <c r="M152" s="1" t="s">
        <v>44</v>
      </c>
      <c r="N152" s="1" t="s">
        <v>25</v>
      </c>
      <c r="O152" s="8">
        <v>5000</v>
      </c>
    </row>
    <row r="153" spans="1:15" ht="15.7" customHeight="1" x14ac:dyDescent="0.3">
      <c r="A153" s="1" t="s">
        <v>338</v>
      </c>
      <c r="B153" s="1" t="s">
        <v>339</v>
      </c>
      <c r="C153" s="1" t="s">
        <v>199</v>
      </c>
      <c r="D153" s="1" t="s">
        <v>18</v>
      </c>
      <c r="E153" s="1" t="s">
        <v>855</v>
      </c>
      <c r="F153" s="1" t="s">
        <v>29</v>
      </c>
      <c r="G153" s="2">
        <v>45452</v>
      </c>
      <c r="H153" s="2">
        <v>45272</v>
      </c>
      <c r="I153" s="1" t="s">
        <v>20</v>
      </c>
      <c r="J153" s="1" t="s">
        <v>21</v>
      </c>
      <c r="K153" s="1" t="s">
        <v>22</v>
      </c>
      <c r="L153" s="1" t="s">
        <v>23</v>
      </c>
      <c r="M153" s="1" t="s">
        <v>24</v>
      </c>
      <c r="N153" s="1" t="s">
        <v>25</v>
      </c>
      <c r="O153" s="8">
        <v>5000</v>
      </c>
    </row>
    <row r="154" spans="1:15" ht="15.7" customHeight="1" x14ac:dyDescent="0.3">
      <c r="A154" s="1" t="s">
        <v>340</v>
      </c>
      <c r="B154" s="1" t="s">
        <v>341</v>
      </c>
      <c r="C154" s="1" t="s">
        <v>199</v>
      </c>
      <c r="D154" s="1" t="s">
        <v>18</v>
      </c>
      <c r="E154" s="1" t="s">
        <v>855</v>
      </c>
      <c r="F154" s="1" t="s">
        <v>29</v>
      </c>
      <c r="G154" s="2">
        <v>45452</v>
      </c>
      <c r="H154" s="2">
        <v>45272</v>
      </c>
      <c r="I154" s="1" t="s">
        <v>20</v>
      </c>
      <c r="J154" s="1" t="s">
        <v>21</v>
      </c>
      <c r="K154" s="1" t="s">
        <v>36</v>
      </c>
      <c r="L154" s="1" t="s">
        <v>23</v>
      </c>
      <c r="M154" s="1" t="s">
        <v>24</v>
      </c>
      <c r="N154" s="1" t="s">
        <v>25</v>
      </c>
      <c r="O154" s="8">
        <v>5000</v>
      </c>
    </row>
    <row r="155" spans="1:15" ht="15.7" customHeight="1" x14ac:dyDescent="0.3">
      <c r="A155" s="1" t="s">
        <v>342</v>
      </c>
      <c r="B155" s="1" t="s">
        <v>343</v>
      </c>
      <c r="C155" s="1" t="s">
        <v>199</v>
      </c>
      <c r="D155" s="1" t="s">
        <v>196</v>
      </c>
      <c r="E155" s="1" t="s">
        <v>855</v>
      </c>
      <c r="F155" s="1" t="s">
        <v>29</v>
      </c>
      <c r="G155" s="2">
        <v>45452</v>
      </c>
      <c r="H155" s="2">
        <v>45272</v>
      </c>
      <c r="I155" s="1" t="s">
        <v>20</v>
      </c>
      <c r="J155" s="1" t="s">
        <v>21</v>
      </c>
      <c r="K155" s="1" t="s">
        <v>30</v>
      </c>
      <c r="L155" s="1" t="s">
        <v>23</v>
      </c>
      <c r="M155" s="1" t="s">
        <v>24</v>
      </c>
      <c r="N155" s="1" t="s">
        <v>25</v>
      </c>
      <c r="O155" s="8">
        <v>5000</v>
      </c>
    </row>
    <row r="156" spans="1:15" ht="15.7" customHeight="1" x14ac:dyDescent="0.3">
      <c r="A156" s="1" t="s">
        <v>344</v>
      </c>
      <c r="B156" s="1" t="s">
        <v>345</v>
      </c>
      <c r="C156" s="1" t="s">
        <v>41</v>
      </c>
      <c r="D156" s="1" t="s">
        <v>18</v>
      </c>
      <c r="E156" s="1" t="s">
        <v>855</v>
      </c>
      <c r="F156" s="1" t="s">
        <v>29</v>
      </c>
      <c r="G156" s="2">
        <v>45452</v>
      </c>
      <c r="H156" s="2">
        <v>45272</v>
      </c>
      <c r="I156" s="1" t="s">
        <v>76</v>
      </c>
      <c r="J156" s="1" t="s">
        <v>21</v>
      </c>
      <c r="K156" s="1" t="s">
        <v>30</v>
      </c>
      <c r="L156" s="1" t="s">
        <v>91</v>
      </c>
      <c r="M156" s="1" t="s">
        <v>44</v>
      </c>
      <c r="N156" s="1" t="s">
        <v>25</v>
      </c>
      <c r="O156" s="8">
        <v>5000</v>
      </c>
    </row>
    <row r="157" spans="1:15" ht="15.7" customHeight="1" x14ac:dyDescent="0.3">
      <c r="A157" s="1" t="s">
        <v>346</v>
      </c>
      <c r="B157" s="1" t="s">
        <v>347</v>
      </c>
      <c r="C157" s="1" t="s">
        <v>41</v>
      </c>
      <c r="D157" s="1" t="s">
        <v>18</v>
      </c>
      <c r="E157" s="1" t="s">
        <v>855</v>
      </c>
      <c r="F157" s="1" t="s">
        <v>29</v>
      </c>
      <c r="G157" s="2">
        <v>45452</v>
      </c>
      <c r="H157" s="2">
        <v>45272</v>
      </c>
      <c r="I157" s="1" t="s">
        <v>20</v>
      </c>
      <c r="J157" s="1" t="s">
        <v>35</v>
      </c>
      <c r="K157" s="1" t="s">
        <v>54</v>
      </c>
      <c r="L157" s="1" t="s">
        <v>91</v>
      </c>
      <c r="M157" s="1" t="s">
        <v>44</v>
      </c>
      <c r="N157" s="1" t="s">
        <v>25</v>
      </c>
      <c r="O157" s="8">
        <v>5000</v>
      </c>
    </row>
    <row r="158" spans="1:15" ht="15.7" customHeight="1" x14ac:dyDescent="0.3">
      <c r="A158" s="1" t="s">
        <v>348</v>
      </c>
      <c r="B158" s="1" t="s">
        <v>349</v>
      </c>
      <c r="C158" s="1" t="s">
        <v>34</v>
      </c>
      <c r="D158" s="1" t="s">
        <v>18</v>
      </c>
      <c r="E158" s="1" t="s">
        <v>855</v>
      </c>
      <c r="F158" s="1" t="s">
        <v>29</v>
      </c>
      <c r="G158" s="2">
        <v>45452</v>
      </c>
      <c r="H158" s="2">
        <v>45272</v>
      </c>
      <c r="I158" s="1" t="s">
        <v>20</v>
      </c>
      <c r="J158" s="1" t="s">
        <v>35</v>
      </c>
      <c r="K158" s="1" t="s">
        <v>22</v>
      </c>
      <c r="L158" s="1" t="s">
        <v>23</v>
      </c>
      <c r="M158" s="1" t="s">
        <v>24</v>
      </c>
      <c r="N158" s="1" t="s">
        <v>25</v>
      </c>
      <c r="O158" s="8">
        <v>5000</v>
      </c>
    </row>
    <row r="159" spans="1:15" ht="15.7" customHeight="1" x14ac:dyDescent="0.3">
      <c r="A159" s="1" t="s">
        <v>350</v>
      </c>
      <c r="B159" s="1" t="s">
        <v>351</v>
      </c>
      <c r="C159" s="1" t="s">
        <v>34</v>
      </c>
      <c r="D159" s="1" t="s">
        <v>18</v>
      </c>
      <c r="E159" s="1" t="s">
        <v>855</v>
      </c>
      <c r="F159" s="1" t="s">
        <v>29</v>
      </c>
      <c r="G159" s="2">
        <v>45452</v>
      </c>
      <c r="H159" s="2">
        <v>45272</v>
      </c>
      <c r="I159" s="1" t="s">
        <v>20</v>
      </c>
      <c r="J159" s="1" t="s">
        <v>21</v>
      </c>
      <c r="K159" s="1" t="s">
        <v>22</v>
      </c>
      <c r="L159" s="1" t="s">
        <v>23</v>
      </c>
      <c r="M159" s="1" t="s">
        <v>24</v>
      </c>
      <c r="N159" s="1" t="s">
        <v>25</v>
      </c>
      <c r="O159" s="8">
        <v>5000</v>
      </c>
    </row>
    <row r="160" spans="1:15" ht="15.7" customHeight="1" x14ac:dyDescent="0.3">
      <c r="A160" s="1" t="s">
        <v>352</v>
      </c>
      <c r="B160" s="1" t="s">
        <v>353</v>
      </c>
      <c r="C160" s="1" t="s">
        <v>34</v>
      </c>
      <c r="D160" s="1" t="s">
        <v>18</v>
      </c>
      <c r="E160" s="1" t="s">
        <v>855</v>
      </c>
      <c r="F160" s="1" t="s">
        <v>29</v>
      </c>
      <c r="G160" s="2">
        <v>45452</v>
      </c>
      <c r="H160" s="2">
        <v>45272</v>
      </c>
      <c r="I160" s="1" t="s">
        <v>20</v>
      </c>
      <c r="J160" s="1" t="s">
        <v>21</v>
      </c>
      <c r="K160" s="1" t="s">
        <v>30</v>
      </c>
      <c r="L160" s="1" t="s">
        <v>65</v>
      </c>
      <c r="M160" s="1" t="s">
        <v>277</v>
      </c>
      <c r="N160" s="1" t="s">
        <v>25</v>
      </c>
      <c r="O160" s="8">
        <v>5000</v>
      </c>
    </row>
    <row r="161" spans="1:15" ht="15.7" customHeight="1" x14ac:dyDescent="0.3">
      <c r="A161" s="1" t="s">
        <v>354</v>
      </c>
      <c r="B161" s="1" t="s">
        <v>355</v>
      </c>
      <c r="C161" s="1" t="s">
        <v>41</v>
      </c>
      <c r="D161" s="1" t="s">
        <v>18</v>
      </c>
      <c r="E161" s="1" t="s">
        <v>855</v>
      </c>
      <c r="F161" s="1" t="s">
        <v>29</v>
      </c>
      <c r="G161" s="2">
        <v>45453</v>
      </c>
      <c r="H161" s="2">
        <v>45273</v>
      </c>
      <c r="I161" s="1" t="s">
        <v>20</v>
      </c>
      <c r="J161" s="1" t="s">
        <v>21</v>
      </c>
      <c r="K161" s="1" t="s">
        <v>22</v>
      </c>
      <c r="L161" s="1" t="s">
        <v>65</v>
      </c>
      <c r="M161" s="1" t="s">
        <v>277</v>
      </c>
      <c r="N161" s="1" t="s">
        <v>25</v>
      </c>
      <c r="O161" s="8">
        <v>5000</v>
      </c>
    </row>
    <row r="162" spans="1:15" ht="15.7" customHeight="1" x14ac:dyDescent="0.3">
      <c r="A162" s="1" t="s">
        <v>356</v>
      </c>
      <c r="B162" s="1" t="s">
        <v>357</v>
      </c>
      <c r="C162" s="1" t="s">
        <v>34</v>
      </c>
      <c r="D162" s="1" t="s">
        <v>18</v>
      </c>
      <c r="E162" s="1" t="s">
        <v>855</v>
      </c>
      <c r="F162" s="1" t="s">
        <v>29</v>
      </c>
      <c r="G162" s="2">
        <v>45453</v>
      </c>
      <c r="H162" s="2">
        <v>45273</v>
      </c>
      <c r="I162" s="1" t="s">
        <v>20</v>
      </c>
      <c r="J162" s="1" t="s">
        <v>21</v>
      </c>
      <c r="K162" s="1" t="s">
        <v>22</v>
      </c>
      <c r="L162" s="1" t="s">
        <v>23</v>
      </c>
      <c r="M162" s="1" t="s">
        <v>24</v>
      </c>
      <c r="N162" s="1" t="s">
        <v>25</v>
      </c>
      <c r="O162" s="8">
        <v>5000</v>
      </c>
    </row>
    <row r="163" spans="1:15" ht="15.7" customHeight="1" x14ac:dyDescent="0.3">
      <c r="A163" s="1" t="s">
        <v>358</v>
      </c>
      <c r="B163" s="1" t="s">
        <v>359</v>
      </c>
      <c r="C163" s="1" t="s">
        <v>17</v>
      </c>
      <c r="D163" s="1" t="s">
        <v>18</v>
      </c>
      <c r="E163" s="1" t="s">
        <v>855</v>
      </c>
      <c r="F163" s="1" t="s">
        <v>29</v>
      </c>
      <c r="G163" s="2">
        <v>45453</v>
      </c>
      <c r="H163" s="2">
        <v>45273</v>
      </c>
      <c r="I163" s="1" t="s">
        <v>20</v>
      </c>
      <c r="J163" s="1" t="s">
        <v>21</v>
      </c>
      <c r="K163" s="1" t="s">
        <v>22</v>
      </c>
      <c r="L163" s="1" t="s">
        <v>219</v>
      </c>
      <c r="M163" s="1" t="s">
        <v>44</v>
      </c>
      <c r="N163" s="1" t="s">
        <v>25</v>
      </c>
      <c r="O163" s="8">
        <v>5000</v>
      </c>
    </row>
    <row r="164" spans="1:15" ht="15.7" customHeight="1" x14ac:dyDescent="0.3">
      <c r="A164" s="1" t="s">
        <v>360</v>
      </c>
      <c r="B164" s="1" t="s">
        <v>203</v>
      </c>
      <c r="C164" s="1" t="s">
        <v>17</v>
      </c>
      <c r="D164" s="1" t="s">
        <v>18</v>
      </c>
      <c r="E164" s="1" t="s">
        <v>855</v>
      </c>
      <c r="F164" s="1" t="s">
        <v>29</v>
      </c>
      <c r="G164" s="2">
        <v>45453</v>
      </c>
      <c r="H164" s="2">
        <v>45273</v>
      </c>
      <c r="I164" s="1" t="s">
        <v>20</v>
      </c>
      <c r="J164" s="1" t="s">
        <v>21</v>
      </c>
      <c r="K164" s="1" t="s">
        <v>36</v>
      </c>
      <c r="L164" s="1" t="s">
        <v>276</v>
      </c>
      <c r="M164" s="1" t="s">
        <v>277</v>
      </c>
      <c r="N164" s="1" t="s">
        <v>25</v>
      </c>
      <c r="O164" s="8">
        <v>5000</v>
      </c>
    </row>
    <row r="165" spans="1:15" ht="15.7" customHeight="1" x14ac:dyDescent="0.3">
      <c r="A165" s="1" t="s">
        <v>361</v>
      </c>
      <c r="B165" s="1" t="s">
        <v>362</v>
      </c>
      <c r="C165" s="1" t="s">
        <v>17</v>
      </c>
      <c r="D165" s="1" t="s">
        <v>18</v>
      </c>
      <c r="E165" s="1" t="s">
        <v>855</v>
      </c>
      <c r="F165" s="1" t="s">
        <v>29</v>
      </c>
      <c r="G165" s="2">
        <v>45453</v>
      </c>
      <c r="H165" s="2">
        <v>45273</v>
      </c>
      <c r="I165" s="1" t="s">
        <v>20</v>
      </c>
      <c r="J165" s="1" t="s">
        <v>21</v>
      </c>
      <c r="K165" s="1" t="s">
        <v>110</v>
      </c>
      <c r="L165" s="1" t="s">
        <v>23</v>
      </c>
      <c r="M165" s="1" t="s">
        <v>24</v>
      </c>
      <c r="N165" s="1" t="s">
        <v>25</v>
      </c>
      <c r="O165" s="8">
        <v>5000</v>
      </c>
    </row>
    <row r="166" spans="1:15" ht="15.7" customHeight="1" x14ac:dyDescent="0.3">
      <c r="A166" s="1" t="s">
        <v>363</v>
      </c>
      <c r="B166" s="1" t="s">
        <v>364</v>
      </c>
      <c r="C166" s="1" t="s">
        <v>34</v>
      </c>
      <c r="D166" s="1" t="s">
        <v>18</v>
      </c>
      <c r="E166" s="1" t="s">
        <v>855</v>
      </c>
      <c r="F166" s="1" t="s">
        <v>29</v>
      </c>
      <c r="G166" s="2">
        <v>45453</v>
      </c>
      <c r="H166" s="2">
        <v>45273</v>
      </c>
      <c r="I166" s="1" t="s">
        <v>20</v>
      </c>
      <c r="J166" s="1" t="s">
        <v>35</v>
      </c>
      <c r="K166" s="1" t="s">
        <v>143</v>
      </c>
      <c r="L166" s="1" t="s">
        <v>23</v>
      </c>
      <c r="M166" s="1" t="s">
        <v>24</v>
      </c>
      <c r="N166" s="1" t="s">
        <v>25</v>
      </c>
      <c r="O166" s="8">
        <v>5000</v>
      </c>
    </row>
    <row r="167" spans="1:15" ht="15.7" customHeight="1" x14ac:dyDescent="0.3">
      <c r="A167" s="1" t="s">
        <v>365</v>
      </c>
      <c r="B167" s="1" t="s">
        <v>366</v>
      </c>
      <c r="C167" s="1" t="s">
        <v>34</v>
      </c>
      <c r="D167" s="1" t="s">
        <v>18</v>
      </c>
      <c r="E167" s="1" t="s">
        <v>855</v>
      </c>
      <c r="F167" s="1" t="s">
        <v>29</v>
      </c>
      <c r="G167" s="2">
        <v>45453</v>
      </c>
      <c r="H167" s="2">
        <v>45273</v>
      </c>
      <c r="I167" s="1" t="s">
        <v>76</v>
      </c>
      <c r="J167" s="1" t="s">
        <v>35</v>
      </c>
      <c r="K167" s="1" t="s">
        <v>136</v>
      </c>
      <c r="L167" s="1" t="s">
        <v>23</v>
      </c>
      <c r="M167" s="1" t="s">
        <v>24</v>
      </c>
      <c r="N167" s="1" t="s">
        <v>25</v>
      </c>
      <c r="O167" s="8">
        <v>5000</v>
      </c>
    </row>
    <row r="168" spans="1:15" ht="15.7" customHeight="1" x14ac:dyDescent="0.3">
      <c r="A168" s="1" t="s">
        <v>367</v>
      </c>
      <c r="B168" s="1" t="s">
        <v>368</v>
      </c>
      <c r="C168" s="1" t="s">
        <v>17</v>
      </c>
      <c r="D168" s="1" t="s">
        <v>18</v>
      </c>
      <c r="E168" s="1" t="s">
        <v>855</v>
      </c>
      <c r="F168" s="1" t="s">
        <v>29</v>
      </c>
      <c r="G168" s="2">
        <v>45453</v>
      </c>
      <c r="H168" s="2">
        <v>45273</v>
      </c>
      <c r="I168" s="1" t="s">
        <v>76</v>
      </c>
      <c r="J168" s="1" t="s">
        <v>21</v>
      </c>
      <c r="K168" s="1" t="s">
        <v>30</v>
      </c>
      <c r="L168" s="1" t="s">
        <v>219</v>
      </c>
      <c r="M168" s="1" t="s">
        <v>44</v>
      </c>
      <c r="N168" s="1" t="s">
        <v>25</v>
      </c>
      <c r="O168" s="8">
        <v>5000</v>
      </c>
    </row>
    <row r="169" spans="1:15" ht="15.7" customHeight="1" x14ac:dyDescent="0.3">
      <c r="A169" s="1" t="s">
        <v>369</v>
      </c>
      <c r="B169" s="1" t="s">
        <v>370</v>
      </c>
      <c r="C169" s="1" t="s">
        <v>17</v>
      </c>
      <c r="D169" s="1" t="s">
        <v>18</v>
      </c>
      <c r="E169" s="1" t="s">
        <v>855</v>
      </c>
      <c r="F169" s="1" t="s">
        <v>29</v>
      </c>
      <c r="G169" s="2">
        <v>45453</v>
      </c>
      <c r="H169" s="2">
        <v>45273</v>
      </c>
      <c r="I169" s="1" t="s">
        <v>76</v>
      </c>
      <c r="J169" s="1" t="s">
        <v>21</v>
      </c>
      <c r="K169" s="1" t="s">
        <v>30</v>
      </c>
      <c r="L169" s="1" t="s">
        <v>91</v>
      </c>
      <c r="M169" s="1" t="s">
        <v>44</v>
      </c>
      <c r="N169" s="1" t="s">
        <v>25</v>
      </c>
      <c r="O169" s="8">
        <v>5000</v>
      </c>
    </row>
    <row r="170" spans="1:15" ht="15.7" customHeight="1" x14ac:dyDescent="0.3">
      <c r="A170" s="1" t="s">
        <v>371</v>
      </c>
      <c r="B170" s="1" t="s">
        <v>372</v>
      </c>
      <c r="C170" s="1" t="s">
        <v>41</v>
      </c>
      <c r="D170" s="1" t="s">
        <v>18</v>
      </c>
      <c r="E170" s="1" t="s">
        <v>855</v>
      </c>
      <c r="F170" s="1" t="s">
        <v>29</v>
      </c>
      <c r="G170" s="2">
        <v>45453</v>
      </c>
      <c r="H170" s="2">
        <v>45273</v>
      </c>
      <c r="I170" s="1" t="s">
        <v>76</v>
      </c>
      <c r="J170" s="1" t="s">
        <v>21</v>
      </c>
      <c r="K170" s="1" t="s">
        <v>36</v>
      </c>
      <c r="L170" s="1" t="s">
        <v>214</v>
      </c>
      <c r="M170" s="1" t="s">
        <v>24</v>
      </c>
      <c r="N170" s="1" t="s">
        <v>25</v>
      </c>
      <c r="O170" s="8">
        <v>5000</v>
      </c>
    </row>
    <row r="171" spans="1:15" ht="15.7" customHeight="1" x14ac:dyDescent="0.3">
      <c r="A171" s="1" t="s">
        <v>373</v>
      </c>
      <c r="B171" s="1" t="s">
        <v>374</v>
      </c>
      <c r="C171" s="1" t="s">
        <v>34</v>
      </c>
      <c r="D171" s="1" t="s">
        <v>18</v>
      </c>
      <c r="E171" s="1" t="s">
        <v>855</v>
      </c>
      <c r="F171" s="1" t="s">
        <v>29</v>
      </c>
      <c r="G171" s="2">
        <v>45453</v>
      </c>
      <c r="H171" s="2">
        <v>45273</v>
      </c>
      <c r="I171" s="1" t="s">
        <v>76</v>
      </c>
      <c r="J171" s="1" t="s">
        <v>21</v>
      </c>
      <c r="K171" s="1" t="s">
        <v>36</v>
      </c>
      <c r="L171" s="1" t="s">
        <v>91</v>
      </c>
      <c r="M171" s="1" t="s">
        <v>44</v>
      </c>
      <c r="N171" s="1" t="s">
        <v>25</v>
      </c>
      <c r="O171" s="8">
        <v>5000</v>
      </c>
    </row>
    <row r="172" spans="1:15" ht="15.7" customHeight="1" x14ac:dyDescent="0.3">
      <c r="A172" s="1" t="s">
        <v>375</v>
      </c>
      <c r="B172" s="1" t="s">
        <v>376</v>
      </c>
      <c r="C172" s="1" t="s">
        <v>34</v>
      </c>
      <c r="D172" s="1" t="s">
        <v>18</v>
      </c>
      <c r="E172" s="1" t="s">
        <v>855</v>
      </c>
      <c r="F172" s="1" t="s">
        <v>29</v>
      </c>
      <c r="G172" s="2">
        <v>45453</v>
      </c>
      <c r="H172" s="2">
        <v>45273</v>
      </c>
      <c r="I172" s="1" t="s">
        <v>76</v>
      </c>
      <c r="J172" s="1" t="s">
        <v>21</v>
      </c>
      <c r="K172" s="1" t="s">
        <v>36</v>
      </c>
      <c r="L172" s="1" t="s">
        <v>214</v>
      </c>
      <c r="M172" s="1" t="s">
        <v>24</v>
      </c>
      <c r="N172" s="1" t="s">
        <v>25</v>
      </c>
      <c r="O172" s="8">
        <v>5000</v>
      </c>
    </row>
    <row r="173" spans="1:15" ht="15.7" customHeight="1" x14ac:dyDescent="0.3">
      <c r="A173" s="1" t="s">
        <v>377</v>
      </c>
      <c r="B173" s="1" t="s">
        <v>378</v>
      </c>
      <c r="C173" s="1" t="s">
        <v>199</v>
      </c>
      <c r="D173" s="1" t="s">
        <v>18</v>
      </c>
      <c r="E173" s="1" t="s">
        <v>855</v>
      </c>
      <c r="F173" s="1" t="s">
        <v>29</v>
      </c>
      <c r="G173" s="2">
        <v>45453</v>
      </c>
      <c r="H173" s="2">
        <v>45273</v>
      </c>
      <c r="I173" s="1" t="s">
        <v>20</v>
      </c>
      <c r="J173" s="1" t="s">
        <v>21</v>
      </c>
      <c r="K173" s="1" t="s">
        <v>36</v>
      </c>
      <c r="L173" s="1" t="s">
        <v>23</v>
      </c>
      <c r="M173" s="1" t="s">
        <v>24</v>
      </c>
      <c r="N173" s="1" t="s">
        <v>25</v>
      </c>
      <c r="O173" s="8">
        <v>5000</v>
      </c>
    </row>
    <row r="174" spans="1:15" ht="15.7" customHeight="1" x14ac:dyDescent="0.3">
      <c r="A174" s="1" t="s">
        <v>379</v>
      </c>
      <c r="B174" s="1" t="s">
        <v>380</v>
      </c>
      <c r="C174" s="1" t="s">
        <v>17</v>
      </c>
      <c r="D174" s="1" t="s">
        <v>18</v>
      </c>
      <c r="E174" s="1" t="s">
        <v>855</v>
      </c>
      <c r="F174" s="1" t="s">
        <v>29</v>
      </c>
      <c r="G174" s="2">
        <v>45453</v>
      </c>
      <c r="H174" s="2">
        <v>45273</v>
      </c>
      <c r="I174" s="1" t="s">
        <v>20</v>
      </c>
      <c r="J174" s="1" t="s">
        <v>21</v>
      </c>
      <c r="K174" s="1" t="s">
        <v>30</v>
      </c>
      <c r="L174" s="1" t="s">
        <v>91</v>
      </c>
      <c r="M174" s="1" t="s">
        <v>44</v>
      </c>
      <c r="N174" s="1" t="s">
        <v>25</v>
      </c>
      <c r="O174" s="8">
        <v>5000</v>
      </c>
    </row>
    <row r="175" spans="1:15" ht="15.7" customHeight="1" x14ac:dyDescent="0.3">
      <c r="A175" s="1" t="s">
        <v>381</v>
      </c>
      <c r="B175" s="1" t="s">
        <v>382</v>
      </c>
      <c r="C175" s="1" t="s">
        <v>34</v>
      </c>
      <c r="D175" s="1" t="s">
        <v>18</v>
      </c>
      <c r="E175" s="1" t="s">
        <v>855</v>
      </c>
      <c r="F175" s="1" t="s">
        <v>29</v>
      </c>
      <c r="G175" s="2">
        <v>45453</v>
      </c>
      <c r="H175" s="2">
        <v>45273</v>
      </c>
      <c r="I175" s="1" t="s">
        <v>76</v>
      </c>
      <c r="J175" s="1" t="s">
        <v>35</v>
      </c>
      <c r="K175" s="1" t="s">
        <v>22</v>
      </c>
      <c r="L175" s="1" t="s">
        <v>23</v>
      </c>
      <c r="M175" s="1" t="s">
        <v>24</v>
      </c>
      <c r="N175" s="1" t="s">
        <v>25</v>
      </c>
      <c r="O175" s="8">
        <v>5000</v>
      </c>
    </row>
    <row r="176" spans="1:15" ht="15.7" customHeight="1" x14ac:dyDescent="0.3">
      <c r="A176" s="1" t="s">
        <v>383</v>
      </c>
      <c r="B176" s="1" t="s">
        <v>384</v>
      </c>
      <c r="C176" s="1" t="s">
        <v>34</v>
      </c>
      <c r="D176" s="1" t="s">
        <v>18</v>
      </c>
      <c r="E176" s="1" t="s">
        <v>855</v>
      </c>
      <c r="F176" s="1" t="s">
        <v>29</v>
      </c>
      <c r="G176" s="2">
        <v>45453</v>
      </c>
      <c r="H176" s="2">
        <v>45273</v>
      </c>
      <c r="I176" s="1" t="s">
        <v>76</v>
      </c>
      <c r="J176" s="1" t="s">
        <v>21</v>
      </c>
      <c r="K176" s="1" t="s">
        <v>22</v>
      </c>
      <c r="L176" s="1" t="s">
        <v>114</v>
      </c>
      <c r="M176" s="1" t="s">
        <v>24</v>
      </c>
      <c r="N176" s="1" t="s">
        <v>25</v>
      </c>
      <c r="O176" s="8">
        <v>5000</v>
      </c>
    </row>
    <row r="177" spans="1:15" ht="15.7" customHeight="1" x14ac:dyDescent="0.3">
      <c r="A177" s="1" t="s">
        <v>385</v>
      </c>
      <c r="B177" s="1" t="s">
        <v>386</v>
      </c>
      <c r="C177" s="1" t="s">
        <v>41</v>
      </c>
      <c r="D177" s="1" t="s">
        <v>18</v>
      </c>
      <c r="E177" s="1" t="s">
        <v>855</v>
      </c>
      <c r="F177" s="1" t="s">
        <v>29</v>
      </c>
      <c r="G177" s="2">
        <v>45454</v>
      </c>
      <c r="H177" s="2">
        <v>45274</v>
      </c>
      <c r="I177" s="1" t="s">
        <v>76</v>
      </c>
      <c r="J177" s="1" t="s">
        <v>35</v>
      </c>
      <c r="K177" s="1" t="s">
        <v>110</v>
      </c>
      <c r="L177" s="1" t="s">
        <v>185</v>
      </c>
      <c r="M177" s="1" t="s">
        <v>277</v>
      </c>
      <c r="N177" s="1" t="s">
        <v>25</v>
      </c>
      <c r="O177" s="8">
        <v>5000</v>
      </c>
    </row>
    <row r="178" spans="1:15" ht="15.7" customHeight="1" x14ac:dyDescent="0.3">
      <c r="A178" s="1" t="s">
        <v>387</v>
      </c>
      <c r="B178" s="1" t="s">
        <v>388</v>
      </c>
      <c r="C178" s="1" t="s">
        <v>41</v>
      </c>
      <c r="D178" s="1" t="s">
        <v>18</v>
      </c>
      <c r="E178" s="1" t="s">
        <v>855</v>
      </c>
      <c r="F178" s="1" t="s">
        <v>29</v>
      </c>
      <c r="G178" s="2">
        <v>45454</v>
      </c>
      <c r="H178" s="2">
        <v>45274</v>
      </c>
      <c r="I178" s="1" t="s">
        <v>20</v>
      </c>
      <c r="J178" s="1" t="s">
        <v>21</v>
      </c>
      <c r="K178" s="1" t="s">
        <v>22</v>
      </c>
      <c r="L178" s="1" t="s">
        <v>91</v>
      </c>
      <c r="M178" s="1" t="s">
        <v>44</v>
      </c>
      <c r="N178" s="1" t="s">
        <v>25</v>
      </c>
      <c r="O178" s="8">
        <v>5000</v>
      </c>
    </row>
    <row r="179" spans="1:15" ht="15.7" customHeight="1" x14ac:dyDescent="0.3">
      <c r="A179" s="1" t="s">
        <v>389</v>
      </c>
      <c r="B179" s="1" t="s">
        <v>390</v>
      </c>
      <c r="C179" s="1" t="s">
        <v>17</v>
      </c>
      <c r="D179" s="1" t="s">
        <v>18</v>
      </c>
      <c r="E179" s="1" t="s">
        <v>855</v>
      </c>
      <c r="F179" s="1" t="s">
        <v>29</v>
      </c>
      <c r="G179" s="2">
        <v>45454</v>
      </c>
      <c r="H179" s="2">
        <v>45274</v>
      </c>
      <c r="I179" s="1" t="s">
        <v>20</v>
      </c>
      <c r="J179" s="1" t="s">
        <v>21</v>
      </c>
      <c r="K179" s="1" t="s">
        <v>22</v>
      </c>
      <c r="L179" s="1" t="s">
        <v>214</v>
      </c>
      <c r="M179" s="1" t="s">
        <v>24</v>
      </c>
      <c r="N179" s="1" t="s">
        <v>25</v>
      </c>
      <c r="O179" s="8">
        <v>5000</v>
      </c>
    </row>
    <row r="180" spans="1:15" ht="15.7" customHeight="1" x14ac:dyDescent="0.3">
      <c r="A180" s="1" t="s">
        <v>391</v>
      </c>
      <c r="B180" s="1" t="s">
        <v>392</v>
      </c>
      <c r="C180" s="1" t="s">
        <v>17</v>
      </c>
      <c r="D180" s="1" t="s">
        <v>18</v>
      </c>
      <c r="E180" s="1" t="s">
        <v>855</v>
      </c>
      <c r="F180" s="1" t="s">
        <v>29</v>
      </c>
      <c r="G180" s="2">
        <v>45454</v>
      </c>
      <c r="H180" s="2">
        <v>45274</v>
      </c>
      <c r="I180" s="1" t="s">
        <v>20</v>
      </c>
      <c r="J180" s="1" t="s">
        <v>21</v>
      </c>
      <c r="K180" s="1" t="s">
        <v>30</v>
      </c>
      <c r="L180" s="1" t="s">
        <v>23</v>
      </c>
      <c r="M180" s="1" t="s">
        <v>24</v>
      </c>
      <c r="N180" s="1" t="s">
        <v>25</v>
      </c>
      <c r="O180" s="8">
        <v>5000</v>
      </c>
    </row>
    <row r="181" spans="1:15" ht="15.7" customHeight="1" x14ac:dyDescent="0.3">
      <c r="A181" s="1" t="s">
        <v>393</v>
      </c>
      <c r="B181" s="1" t="s">
        <v>394</v>
      </c>
      <c r="C181" s="1" t="s">
        <v>34</v>
      </c>
      <c r="D181" s="1" t="s">
        <v>193</v>
      </c>
      <c r="E181" s="1" t="s">
        <v>855</v>
      </c>
      <c r="F181" s="1" t="s">
        <v>29</v>
      </c>
      <c r="G181" s="2">
        <v>45454</v>
      </c>
      <c r="H181" s="2">
        <v>45274</v>
      </c>
      <c r="I181" s="1" t="s">
        <v>20</v>
      </c>
      <c r="J181" s="1" t="s">
        <v>21</v>
      </c>
      <c r="K181" s="1" t="s">
        <v>30</v>
      </c>
      <c r="L181" s="1" t="s">
        <v>23</v>
      </c>
      <c r="M181" s="1" t="s">
        <v>24</v>
      </c>
      <c r="N181" s="1" t="s">
        <v>25</v>
      </c>
      <c r="O181" s="8">
        <v>5000</v>
      </c>
    </row>
    <row r="182" spans="1:15" ht="15.7" customHeight="1" x14ac:dyDescent="0.3">
      <c r="A182" s="1" t="s">
        <v>395</v>
      </c>
      <c r="B182" s="1" t="s">
        <v>396</v>
      </c>
      <c r="C182" s="1" t="s">
        <v>34</v>
      </c>
      <c r="D182" s="1" t="s">
        <v>18</v>
      </c>
      <c r="E182" s="1" t="s">
        <v>855</v>
      </c>
      <c r="F182" s="1" t="s">
        <v>29</v>
      </c>
      <c r="G182" s="2">
        <v>45454</v>
      </c>
      <c r="H182" s="2">
        <v>45274</v>
      </c>
      <c r="I182" s="1" t="s">
        <v>20</v>
      </c>
      <c r="J182" s="1" t="s">
        <v>21</v>
      </c>
      <c r="K182" s="1" t="s">
        <v>22</v>
      </c>
      <c r="L182" s="1" t="s">
        <v>23</v>
      </c>
      <c r="M182" s="1" t="s">
        <v>24</v>
      </c>
      <c r="N182" s="1" t="s">
        <v>25</v>
      </c>
      <c r="O182" s="8">
        <v>5000</v>
      </c>
    </row>
    <row r="183" spans="1:15" ht="15.7" customHeight="1" x14ac:dyDescent="0.3">
      <c r="A183" s="1" t="s">
        <v>397</v>
      </c>
      <c r="B183" s="1" t="s">
        <v>398</v>
      </c>
      <c r="C183" s="1" t="s">
        <v>199</v>
      </c>
      <c r="D183" s="1" t="s">
        <v>164</v>
      </c>
      <c r="E183" s="1" t="s">
        <v>854</v>
      </c>
      <c r="F183" s="1" t="s">
        <v>29</v>
      </c>
      <c r="G183" s="2">
        <v>45457</v>
      </c>
      <c r="H183" s="2">
        <v>45277</v>
      </c>
      <c r="I183" s="1" t="s">
        <v>20</v>
      </c>
      <c r="J183" s="1" t="s">
        <v>35</v>
      </c>
      <c r="K183" s="1" t="s">
        <v>30</v>
      </c>
      <c r="L183" s="1" t="s">
        <v>23</v>
      </c>
      <c r="M183" s="1" t="s">
        <v>24</v>
      </c>
      <c r="N183" s="1" t="s">
        <v>25</v>
      </c>
      <c r="O183" s="8">
        <v>5000</v>
      </c>
    </row>
    <row r="184" spans="1:15" ht="15.7" customHeight="1" x14ac:dyDescent="0.3">
      <c r="A184" s="1" t="s">
        <v>399</v>
      </c>
      <c r="B184" s="1" t="s">
        <v>400</v>
      </c>
      <c r="C184" s="1" t="s">
        <v>34</v>
      </c>
      <c r="D184" s="1" t="s">
        <v>18</v>
      </c>
      <c r="E184" s="1" t="s">
        <v>855</v>
      </c>
      <c r="F184" s="1" t="s">
        <v>29</v>
      </c>
      <c r="G184" s="2">
        <v>45457</v>
      </c>
      <c r="H184" s="2">
        <v>45277</v>
      </c>
      <c r="I184" s="1" t="s">
        <v>76</v>
      </c>
      <c r="J184" s="1" t="s">
        <v>21</v>
      </c>
      <c r="K184" s="1" t="s">
        <v>30</v>
      </c>
      <c r="L184" s="1" t="s">
        <v>23</v>
      </c>
      <c r="M184" s="1" t="s">
        <v>24</v>
      </c>
      <c r="N184" s="1" t="s">
        <v>25</v>
      </c>
      <c r="O184" s="8">
        <v>5000</v>
      </c>
    </row>
    <row r="185" spans="1:15" ht="15.7" customHeight="1" x14ac:dyDescent="0.3">
      <c r="A185" s="1" t="s">
        <v>401</v>
      </c>
      <c r="B185" s="1" t="s">
        <v>402</v>
      </c>
      <c r="C185" s="1" t="s">
        <v>41</v>
      </c>
      <c r="D185" s="1" t="s">
        <v>18</v>
      </c>
      <c r="E185" s="1" t="s">
        <v>855</v>
      </c>
      <c r="F185" s="1" t="s">
        <v>29</v>
      </c>
      <c r="G185" s="2">
        <v>45457</v>
      </c>
      <c r="H185" s="2">
        <v>45277</v>
      </c>
      <c r="I185" s="1" t="s">
        <v>76</v>
      </c>
      <c r="J185" s="1" t="s">
        <v>21</v>
      </c>
      <c r="K185" s="1" t="s">
        <v>30</v>
      </c>
      <c r="L185" s="1" t="s">
        <v>23</v>
      </c>
      <c r="M185" s="1" t="s">
        <v>24</v>
      </c>
      <c r="N185" s="1" t="s">
        <v>25</v>
      </c>
      <c r="O185" s="8">
        <v>5000</v>
      </c>
    </row>
    <row r="186" spans="1:15" ht="15.7" customHeight="1" x14ac:dyDescent="0.3">
      <c r="A186" s="1" t="s">
        <v>403</v>
      </c>
      <c r="B186" s="1" t="s">
        <v>404</v>
      </c>
      <c r="C186" s="1" t="s">
        <v>34</v>
      </c>
      <c r="D186" s="1" t="s">
        <v>18</v>
      </c>
      <c r="E186" s="1" t="s">
        <v>855</v>
      </c>
      <c r="F186" s="1" t="s">
        <v>29</v>
      </c>
      <c r="G186" s="2">
        <v>45457</v>
      </c>
      <c r="H186" s="2">
        <v>45277</v>
      </c>
      <c r="I186" s="1" t="s">
        <v>76</v>
      </c>
      <c r="J186" s="1" t="s">
        <v>21</v>
      </c>
      <c r="K186" s="1" t="s">
        <v>30</v>
      </c>
      <c r="L186" s="1" t="s">
        <v>23</v>
      </c>
      <c r="M186" s="1" t="s">
        <v>24</v>
      </c>
      <c r="N186" s="1" t="s">
        <v>25</v>
      </c>
      <c r="O186" s="8">
        <v>5000</v>
      </c>
    </row>
    <row r="187" spans="1:15" ht="15.7" customHeight="1" x14ac:dyDescent="0.3">
      <c r="A187" s="1" t="s">
        <v>405</v>
      </c>
      <c r="B187" s="1" t="s">
        <v>307</v>
      </c>
      <c r="C187" s="1" t="s">
        <v>41</v>
      </c>
      <c r="D187" s="1" t="s">
        <v>18</v>
      </c>
      <c r="E187" s="1" t="s">
        <v>855</v>
      </c>
      <c r="F187" s="1" t="s">
        <v>29</v>
      </c>
      <c r="G187" s="2">
        <v>45457</v>
      </c>
      <c r="H187" s="2">
        <v>45277</v>
      </c>
      <c r="I187" s="1" t="s">
        <v>20</v>
      </c>
      <c r="J187" s="1" t="s">
        <v>21</v>
      </c>
      <c r="K187" s="1" t="s">
        <v>36</v>
      </c>
      <c r="L187" s="1" t="s">
        <v>214</v>
      </c>
      <c r="M187" s="1" t="s">
        <v>24</v>
      </c>
      <c r="N187" s="1" t="s">
        <v>25</v>
      </c>
      <c r="O187" s="8">
        <v>5000</v>
      </c>
    </row>
    <row r="188" spans="1:15" ht="15.7" customHeight="1" x14ac:dyDescent="0.3">
      <c r="A188" s="1" t="s">
        <v>406</v>
      </c>
      <c r="B188" s="1" t="s">
        <v>407</v>
      </c>
      <c r="C188" s="1" t="s">
        <v>41</v>
      </c>
      <c r="D188" s="1" t="s">
        <v>196</v>
      </c>
      <c r="E188" s="1" t="s">
        <v>855</v>
      </c>
      <c r="F188" s="1" t="s">
        <v>29</v>
      </c>
      <c r="G188" s="2">
        <v>45457</v>
      </c>
      <c r="H188" s="2">
        <v>45277</v>
      </c>
      <c r="I188" s="1" t="s">
        <v>20</v>
      </c>
      <c r="J188" s="1" t="s">
        <v>21</v>
      </c>
      <c r="K188" s="1" t="s">
        <v>36</v>
      </c>
      <c r="L188" s="1" t="s">
        <v>65</v>
      </c>
      <c r="M188" s="1" t="s">
        <v>277</v>
      </c>
      <c r="N188" s="1" t="s">
        <v>25</v>
      </c>
      <c r="O188" s="8">
        <v>5000</v>
      </c>
    </row>
    <row r="189" spans="1:15" ht="15.7" customHeight="1" x14ac:dyDescent="0.3">
      <c r="A189" s="1" t="s">
        <v>408</v>
      </c>
      <c r="B189" s="1" t="s">
        <v>409</v>
      </c>
      <c r="C189" s="1" t="s">
        <v>17</v>
      </c>
      <c r="D189" s="1" t="s">
        <v>18</v>
      </c>
      <c r="E189" s="1" t="s">
        <v>855</v>
      </c>
      <c r="F189" s="1" t="s">
        <v>29</v>
      </c>
      <c r="G189" s="2">
        <v>45457</v>
      </c>
      <c r="H189" s="2">
        <v>45277</v>
      </c>
      <c r="I189" s="1" t="s">
        <v>20</v>
      </c>
      <c r="J189" s="1" t="s">
        <v>21</v>
      </c>
      <c r="K189" s="1" t="s">
        <v>22</v>
      </c>
      <c r="L189" s="1" t="s">
        <v>23</v>
      </c>
      <c r="M189" s="1" t="s">
        <v>24</v>
      </c>
      <c r="N189" s="1" t="s">
        <v>25</v>
      </c>
      <c r="O189" s="8">
        <v>5000</v>
      </c>
    </row>
    <row r="190" spans="1:15" ht="15.7" customHeight="1" x14ac:dyDescent="0.3">
      <c r="A190" s="1" t="s">
        <v>410</v>
      </c>
      <c r="B190" s="1" t="s">
        <v>411</v>
      </c>
      <c r="C190" s="1" t="s">
        <v>17</v>
      </c>
      <c r="D190" s="1" t="s">
        <v>18</v>
      </c>
      <c r="E190" s="1" t="s">
        <v>855</v>
      </c>
      <c r="F190" s="1" t="s">
        <v>29</v>
      </c>
      <c r="G190" s="2">
        <v>45457</v>
      </c>
      <c r="H190" s="2">
        <v>45277</v>
      </c>
      <c r="I190" s="1" t="s">
        <v>20</v>
      </c>
      <c r="J190" s="1" t="s">
        <v>21</v>
      </c>
      <c r="K190" s="1" t="s">
        <v>22</v>
      </c>
      <c r="L190" s="1" t="s">
        <v>91</v>
      </c>
      <c r="M190" s="1" t="s">
        <v>44</v>
      </c>
      <c r="N190" s="1" t="s">
        <v>25</v>
      </c>
      <c r="O190" s="8">
        <v>5000</v>
      </c>
    </row>
    <row r="191" spans="1:15" ht="15.7" customHeight="1" x14ac:dyDescent="0.3">
      <c r="A191" s="1" t="s">
        <v>412</v>
      </c>
      <c r="B191" s="1" t="s">
        <v>413</v>
      </c>
      <c r="C191" s="1" t="s">
        <v>34</v>
      </c>
      <c r="D191" s="1" t="s">
        <v>18</v>
      </c>
      <c r="E191" s="1" t="s">
        <v>855</v>
      </c>
      <c r="F191" s="1" t="s">
        <v>29</v>
      </c>
      <c r="G191" s="2">
        <v>45457</v>
      </c>
      <c r="H191" s="2">
        <v>45277</v>
      </c>
      <c r="I191" s="1" t="s">
        <v>20</v>
      </c>
      <c r="J191" s="1" t="s">
        <v>21</v>
      </c>
      <c r="K191" s="1" t="s">
        <v>36</v>
      </c>
      <c r="L191" s="1" t="s">
        <v>23</v>
      </c>
      <c r="M191" s="1" t="s">
        <v>24</v>
      </c>
      <c r="N191" s="1" t="s">
        <v>25</v>
      </c>
      <c r="O191" s="8">
        <v>5000</v>
      </c>
    </row>
    <row r="192" spans="1:15" ht="15.7" customHeight="1" x14ac:dyDescent="0.3">
      <c r="A192" s="1" t="s">
        <v>414</v>
      </c>
      <c r="B192" s="1" t="s">
        <v>415</v>
      </c>
      <c r="C192" s="1" t="s">
        <v>34</v>
      </c>
      <c r="D192" s="1" t="s">
        <v>18</v>
      </c>
      <c r="E192" s="1" t="s">
        <v>855</v>
      </c>
      <c r="F192" s="1" t="s">
        <v>29</v>
      </c>
      <c r="G192" s="2">
        <v>45457</v>
      </c>
      <c r="H192" s="2">
        <v>45277</v>
      </c>
      <c r="I192" s="1" t="s">
        <v>20</v>
      </c>
      <c r="J192" s="1" t="s">
        <v>21</v>
      </c>
      <c r="K192" s="1" t="s">
        <v>36</v>
      </c>
      <c r="L192" s="1" t="s">
        <v>23</v>
      </c>
      <c r="M192" s="1" t="s">
        <v>24</v>
      </c>
      <c r="N192" s="1" t="s">
        <v>25</v>
      </c>
      <c r="O192" s="8">
        <v>5000</v>
      </c>
    </row>
    <row r="193" spans="1:15" ht="15.7" customHeight="1" x14ac:dyDescent="0.3">
      <c r="A193" s="1" t="s">
        <v>416</v>
      </c>
      <c r="B193" s="1" t="s">
        <v>417</v>
      </c>
      <c r="C193" s="1" t="s">
        <v>199</v>
      </c>
      <c r="D193" s="1" t="s">
        <v>196</v>
      </c>
      <c r="E193" s="1" t="s">
        <v>855</v>
      </c>
      <c r="F193" s="1" t="s">
        <v>29</v>
      </c>
      <c r="G193" s="2">
        <v>45457</v>
      </c>
      <c r="H193" s="2">
        <v>45277</v>
      </c>
      <c r="I193" s="1" t="s">
        <v>20</v>
      </c>
      <c r="J193" s="1" t="s">
        <v>21</v>
      </c>
      <c r="K193" s="1" t="s">
        <v>30</v>
      </c>
      <c r="L193" s="1" t="s">
        <v>23</v>
      </c>
      <c r="M193" s="1" t="s">
        <v>24</v>
      </c>
      <c r="N193" s="1" t="s">
        <v>25</v>
      </c>
      <c r="O193" s="8">
        <v>5000</v>
      </c>
    </row>
    <row r="194" spans="1:15" ht="15.7" customHeight="1" x14ac:dyDescent="0.3">
      <c r="A194" s="1" t="s">
        <v>418</v>
      </c>
      <c r="B194" s="1" t="s">
        <v>419</v>
      </c>
      <c r="C194" s="1" t="s">
        <v>34</v>
      </c>
      <c r="D194" s="1" t="s">
        <v>18</v>
      </c>
      <c r="E194" s="1" t="s">
        <v>855</v>
      </c>
      <c r="F194" s="1" t="s">
        <v>29</v>
      </c>
      <c r="G194" s="2">
        <v>45457</v>
      </c>
      <c r="H194" s="2">
        <v>45277</v>
      </c>
      <c r="I194" s="1" t="s">
        <v>76</v>
      </c>
      <c r="J194" s="1" t="s">
        <v>21</v>
      </c>
      <c r="K194" s="1" t="s">
        <v>36</v>
      </c>
      <c r="L194" s="1" t="s">
        <v>91</v>
      </c>
      <c r="M194" s="1" t="s">
        <v>44</v>
      </c>
      <c r="N194" s="1" t="s">
        <v>25</v>
      </c>
      <c r="O194" s="8">
        <v>5000</v>
      </c>
    </row>
    <row r="195" spans="1:15" ht="15.7" customHeight="1" x14ac:dyDescent="0.3">
      <c r="A195" s="1" t="s">
        <v>420</v>
      </c>
      <c r="B195" s="1" t="s">
        <v>421</v>
      </c>
      <c r="C195" s="1" t="s">
        <v>41</v>
      </c>
      <c r="D195" s="1" t="s">
        <v>18</v>
      </c>
      <c r="E195" s="1" t="s">
        <v>855</v>
      </c>
      <c r="F195" s="1" t="s">
        <v>29</v>
      </c>
      <c r="G195" s="2">
        <v>45457</v>
      </c>
      <c r="H195" s="2">
        <v>45277</v>
      </c>
      <c r="I195" s="1" t="s">
        <v>76</v>
      </c>
      <c r="J195" s="1" t="s">
        <v>21</v>
      </c>
      <c r="K195" s="1" t="s">
        <v>22</v>
      </c>
      <c r="L195" s="1" t="s">
        <v>65</v>
      </c>
      <c r="M195" s="1" t="s">
        <v>277</v>
      </c>
      <c r="N195" s="1" t="s">
        <v>25</v>
      </c>
      <c r="O195" s="8">
        <v>5000</v>
      </c>
    </row>
    <row r="196" spans="1:15" ht="15.7" customHeight="1" x14ac:dyDescent="0.3">
      <c r="A196" s="1" t="s">
        <v>422</v>
      </c>
      <c r="B196" s="1" t="s">
        <v>423</v>
      </c>
      <c r="C196" s="1" t="s">
        <v>34</v>
      </c>
      <c r="D196" s="1" t="s">
        <v>18</v>
      </c>
      <c r="E196" s="1" t="s">
        <v>855</v>
      </c>
      <c r="F196" s="1" t="s">
        <v>29</v>
      </c>
      <c r="G196" s="2">
        <v>45457</v>
      </c>
      <c r="H196" s="2">
        <v>45277</v>
      </c>
      <c r="I196" s="1" t="s">
        <v>76</v>
      </c>
      <c r="J196" s="1" t="s">
        <v>21</v>
      </c>
      <c r="K196" s="1" t="s">
        <v>30</v>
      </c>
      <c r="L196" s="1" t="s">
        <v>91</v>
      </c>
      <c r="M196" s="1" t="s">
        <v>44</v>
      </c>
      <c r="N196" s="1" t="s">
        <v>25</v>
      </c>
      <c r="O196" s="8">
        <v>5000</v>
      </c>
    </row>
    <row r="197" spans="1:15" ht="15.7" customHeight="1" x14ac:dyDescent="0.3">
      <c r="A197" s="1" t="s">
        <v>424</v>
      </c>
      <c r="B197" s="1" t="s">
        <v>425</v>
      </c>
      <c r="C197" s="1" t="s">
        <v>34</v>
      </c>
      <c r="D197" s="1" t="s">
        <v>18</v>
      </c>
      <c r="E197" s="1" t="s">
        <v>855</v>
      </c>
      <c r="F197" s="1" t="s">
        <v>29</v>
      </c>
      <c r="G197" s="2">
        <v>45457</v>
      </c>
      <c r="H197" s="2">
        <v>45277</v>
      </c>
      <c r="I197" s="1" t="s">
        <v>76</v>
      </c>
      <c r="J197" s="1" t="s">
        <v>21</v>
      </c>
      <c r="K197" s="1" t="s">
        <v>22</v>
      </c>
      <c r="L197" s="1" t="s">
        <v>23</v>
      </c>
      <c r="M197" s="1" t="s">
        <v>24</v>
      </c>
      <c r="N197" s="1" t="s">
        <v>25</v>
      </c>
      <c r="O197" s="8">
        <v>5000</v>
      </c>
    </row>
    <row r="198" spans="1:15" ht="15.7" customHeight="1" x14ac:dyDescent="0.3">
      <c r="A198" s="1" t="s">
        <v>426</v>
      </c>
      <c r="B198" s="1" t="s">
        <v>427</v>
      </c>
      <c r="C198" s="1" t="s">
        <v>34</v>
      </c>
      <c r="D198" s="1" t="s">
        <v>18</v>
      </c>
      <c r="E198" s="1" t="s">
        <v>855</v>
      </c>
      <c r="F198" s="1" t="s">
        <v>29</v>
      </c>
      <c r="G198" s="2">
        <v>45457</v>
      </c>
      <c r="H198" s="2">
        <v>45277</v>
      </c>
      <c r="I198" s="1" t="s">
        <v>76</v>
      </c>
      <c r="J198" s="1" t="s">
        <v>21</v>
      </c>
      <c r="K198" s="1" t="s">
        <v>30</v>
      </c>
      <c r="L198" s="1" t="s">
        <v>23</v>
      </c>
      <c r="M198" s="1" t="s">
        <v>24</v>
      </c>
      <c r="N198" s="1" t="s">
        <v>25</v>
      </c>
      <c r="O198" s="8">
        <v>5000</v>
      </c>
    </row>
    <row r="199" spans="1:15" ht="15.7" customHeight="1" x14ac:dyDescent="0.3">
      <c r="A199" s="1" t="s">
        <v>428</v>
      </c>
      <c r="B199" s="1" t="s">
        <v>429</v>
      </c>
      <c r="C199" s="1" t="s">
        <v>17</v>
      </c>
      <c r="D199" s="1" t="s">
        <v>18</v>
      </c>
      <c r="E199" s="1" t="s">
        <v>855</v>
      </c>
      <c r="F199" s="1" t="s">
        <v>29</v>
      </c>
      <c r="G199" s="2">
        <v>45457</v>
      </c>
      <c r="H199" s="2">
        <v>45277</v>
      </c>
      <c r="I199" s="1" t="s">
        <v>76</v>
      </c>
      <c r="J199" s="1" t="s">
        <v>21</v>
      </c>
      <c r="K199" s="1" t="s">
        <v>22</v>
      </c>
      <c r="L199" s="1" t="s">
        <v>91</v>
      </c>
      <c r="M199" s="1" t="s">
        <v>44</v>
      </c>
      <c r="N199" s="1" t="s">
        <v>25</v>
      </c>
      <c r="O199" s="8">
        <v>5000</v>
      </c>
    </row>
    <row r="200" spans="1:15" ht="15.7" customHeight="1" x14ac:dyDescent="0.3">
      <c r="A200" s="1" t="s">
        <v>430</v>
      </c>
      <c r="B200" s="1" t="s">
        <v>431</v>
      </c>
      <c r="C200" s="1" t="s">
        <v>41</v>
      </c>
      <c r="D200" s="1" t="s">
        <v>18</v>
      </c>
      <c r="E200" s="1" t="s">
        <v>855</v>
      </c>
      <c r="F200" s="1" t="s">
        <v>29</v>
      </c>
      <c r="G200" s="2">
        <v>45457</v>
      </c>
      <c r="H200" s="2">
        <v>45277</v>
      </c>
      <c r="I200" s="1" t="s">
        <v>76</v>
      </c>
      <c r="J200" s="1" t="s">
        <v>21</v>
      </c>
      <c r="K200" s="1" t="s">
        <v>22</v>
      </c>
      <c r="L200" s="1" t="s">
        <v>91</v>
      </c>
      <c r="M200" s="1" t="s">
        <v>44</v>
      </c>
      <c r="N200" s="1" t="s">
        <v>25</v>
      </c>
      <c r="O200" s="8">
        <v>5000</v>
      </c>
    </row>
    <row r="201" spans="1:15" ht="15.7" customHeight="1" x14ac:dyDescent="0.3">
      <c r="A201" s="1" t="s">
        <v>432</v>
      </c>
      <c r="B201" s="1" t="s">
        <v>433</v>
      </c>
      <c r="C201" s="1" t="s">
        <v>41</v>
      </c>
      <c r="D201" s="1" t="s">
        <v>18</v>
      </c>
      <c r="E201" s="1" t="s">
        <v>855</v>
      </c>
      <c r="F201" s="1" t="s">
        <v>29</v>
      </c>
      <c r="G201" s="2">
        <v>45457</v>
      </c>
      <c r="H201" s="2">
        <v>45277</v>
      </c>
      <c r="I201" s="1" t="s">
        <v>20</v>
      </c>
      <c r="J201" s="1" t="s">
        <v>21</v>
      </c>
      <c r="K201" s="1" t="s">
        <v>110</v>
      </c>
      <c r="L201" s="1" t="s">
        <v>214</v>
      </c>
      <c r="M201" s="1" t="s">
        <v>24</v>
      </c>
      <c r="N201" s="1" t="s">
        <v>25</v>
      </c>
      <c r="O201" s="8">
        <v>5000</v>
      </c>
    </row>
    <row r="202" spans="1:15" ht="15.7" customHeight="1" x14ac:dyDescent="0.3">
      <c r="A202" s="1" t="s">
        <v>434</v>
      </c>
      <c r="B202" s="1" t="s">
        <v>435</v>
      </c>
      <c r="C202" s="1" t="s">
        <v>34</v>
      </c>
      <c r="D202" s="1" t="s">
        <v>18</v>
      </c>
      <c r="E202" s="1" t="s">
        <v>855</v>
      </c>
      <c r="F202" s="1" t="s">
        <v>29</v>
      </c>
      <c r="G202" s="2">
        <v>45457</v>
      </c>
      <c r="H202" s="2">
        <v>45277</v>
      </c>
      <c r="I202" s="1" t="s">
        <v>20</v>
      </c>
      <c r="J202" s="1" t="s">
        <v>21</v>
      </c>
      <c r="K202" s="1" t="s">
        <v>36</v>
      </c>
      <c r="L202" s="1" t="s">
        <v>91</v>
      </c>
      <c r="M202" s="1" t="s">
        <v>44</v>
      </c>
      <c r="N202" s="1" t="s">
        <v>25</v>
      </c>
      <c r="O202" s="8">
        <v>5000</v>
      </c>
    </row>
    <row r="203" spans="1:15" ht="15.7" customHeight="1" x14ac:dyDescent="0.3">
      <c r="A203" s="1" t="s">
        <v>436</v>
      </c>
      <c r="B203" s="1" t="s">
        <v>437</v>
      </c>
      <c r="C203" s="1" t="s">
        <v>199</v>
      </c>
      <c r="D203" s="1" t="s">
        <v>18</v>
      </c>
      <c r="E203" s="1" t="s">
        <v>855</v>
      </c>
      <c r="F203" s="1" t="s">
        <v>29</v>
      </c>
      <c r="G203" s="2">
        <v>45457</v>
      </c>
      <c r="H203" s="2">
        <v>45277</v>
      </c>
      <c r="I203" s="1" t="s">
        <v>76</v>
      </c>
      <c r="J203" s="1" t="s">
        <v>21</v>
      </c>
      <c r="K203" s="1" t="s">
        <v>54</v>
      </c>
      <c r="L203" s="1" t="s">
        <v>185</v>
      </c>
      <c r="M203" s="1" t="s">
        <v>277</v>
      </c>
      <c r="N203" s="1" t="s">
        <v>25</v>
      </c>
      <c r="O203" s="8">
        <v>5000</v>
      </c>
    </row>
    <row r="204" spans="1:15" ht="15.7" customHeight="1" x14ac:dyDescent="0.3">
      <c r="A204" s="1" t="s">
        <v>438</v>
      </c>
      <c r="B204" s="1" t="s">
        <v>439</v>
      </c>
      <c r="C204" s="1" t="s">
        <v>34</v>
      </c>
      <c r="D204" s="1" t="s">
        <v>18</v>
      </c>
      <c r="E204" s="1" t="s">
        <v>855</v>
      </c>
      <c r="F204" s="1" t="s">
        <v>29</v>
      </c>
      <c r="G204" s="2">
        <v>45457</v>
      </c>
      <c r="H204" s="2">
        <v>45277</v>
      </c>
      <c r="I204" s="1" t="s">
        <v>76</v>
      </c>
      <c r="J204" s="1" t="s">
        <v>21</v>
      </c>
      <c r="K204" s="1" t="s">
        <v>36</v>
      </c>
      <c r="L204" s="1" t="s">
        <v>91</v>
      </c>
      <c r="M204" s="1" t="s">
        <v>44</v>
      </c>
      <c r="N204" s="1" t="s">
        <v>25</v>
      </c>
      <c r="O204" s="8">
        <v>5000</v>
      </c>
    </row>
    <row r="205" spans="1:15" ht="15.7" customHeight="1" x14ac:dyDescent="0.3">
      <c r="A205" s="1" t="s">
        <v>440</v>
      </c>
      <c r="B205" s="1" t="s">
        <v>441</v>
      </c>
      <c r="C205" s="1" t="s">
        <v>41</v>
      </c>
      <c r="D205" s="1" t="s">
        <v>18</v>
      </c>
      <c r="E205" s="1" t="s">
        <v>855</v>
      </c>
      <c r="F205" s="1" t="s">
        <v>29</v>
      </c>
      <c r="G205" s="2">
        <v>45457</v>
      </c>
      <c r="H205" s="2">
        <v>45277</v>
      </c>
      <c r="I205" s="1" t="s">
        <v>76</v>
      </c>
      <c r="J205" s="1" t="s">
        <v>21</v>
      </c>
      <c r="K205" s="1" t="s">
        <v>30</v>
      </c>
      <c r="L205" s="1" t="s">
        <v>23</v>
      </c>
      <c r="M205" s="1" t="s">
        <v>24</v>
      </c>
      <c r="N205" s="1" t="s">
        <v>25</v>
      </c>
      <c r="O205" s="8">
        <v>5000</v>
      </c>
    </row>
    <row r="206" spans="1:15" ht="15.7" customHeight="1" x14ac:dyDescent="0.3">
      <c r="A206" s="1" t="s">
        <v>442</v>
      </c>
      <c r="B206" s="1" t="s">
        <v>443</v>
      </c>
      <c r="C206" s="1" t="s">
        <v>41</v>
      </c>
      <c r="D206" s="1" t="s">
        <v>18</v>
      </c>
      <c r="E206" s="1" t="s">
        <v>855</v>
      </c>
      <c r="F206" s="1" t="s">
        <v>29</v>
      </c>
      <c r="G206" s="2">
        <v>45457</v>
      </c>
      <c r="H206" s="2">
        <v>45277</v>
      </c>
      <c r="I206" s="1" t="s">
        <v>76</v>
      </c>
      <c r="J206" s="1" t="s">
        <v>35</v>
      </c>
      <c r="K206" s="1" t="s">
        <v>30</v>
      </c>
      <c r="L206" s="1" t="s">
        <v>23</v>
      </c>
      <c r="M206" s="1" t="s">
        <v>24</v>
      </c>
      <c r="N206" s="1" t="s">
        <v>25</v>
      </c>
      <c r="O206" s="8">
        <v>5000</v>
      </c>
    </row>
    <row r="207" spans="1:15" ht="15.7" customHeight="1" x14ac:dyDescent="0.3">
      <c r="A207" s="1" t="s">
        <v>444</v>
      </c>
      <c r="B207" s="1" t="s">
        <v>445</v>
      </c>
      <c r="C207" s="1" t="s">
        <v>41</v>
      </c>
      <c r="D207" s="1" t="s">
        <v>18</v>
      </c>
      <c r="E207" s="1" t="s">
        <v>855</v>
      </c>
      <c r="F207" s="1" t="s">
        <v>29</v>
      </c>
      <c r="G207" s="2">
        <v>45457</v>
      </c>
      <c r="H207" s="2">
        <v>45277</v>
      </c>
      <c r="I207" s="1" t="s">
        <v>76</v>
      </c>
      <c r="J207" s="1" t="s">
        <v>21</v>
      </c>
      <c r="K207" s="1" t="s">
        <v>36</v>
      </c>
      <c r="L207" s="1" t="s">
        <v>23</v>
      </c>
      <c r="M207" s="1" t="s">
        <v>24</v>
      </c>
      <c r="N207" s="1" t="s">
        <v>25</v>
      </c>
      <c r="O207" s="8">
        <v>5000</v>
      </c>
    </row>
    <row r="208" spans="1:15" ht="15.7" customHeight="1" x14ac:dyDescent="0.3">
      <c r="A208" s="1" t="s">
        <v>446</v>
      </c>
      <c r="B208" s="1" t="s">
        <v>447</v>
      </c>
      <c r="C208" s="1" t="s">
        <v>41</v>
      </c>
      <c r="D208" s="1" t="s">
        <v>18</v>
      </c>
      <c r="E208" s="1" t="s">
        <v>855</v>
      </c>
      <c r="F208" s="1" t="s">
        <v>29</v>
      </c>
      <c r="G208" s="2">
        <v>45457</v>
      </c>
      <c r="H208" s="2">
        <v>45277</v>
      </c>
      <c r="I208" s="1" t="s">
        <v>20</v>
      </c>
      <c r="J208" s="1" t="s">
        <v>21</v>
      </c>
      <c r="K208" s="1" t="s">
        <v>22</v>
      </c>
      <c r="L208" s="1" t="s">
        <v>23</v>
      </c>
      <c r="M208" s="1" t="s">
        <v>24</v>
      </c>
      <c r="N208" s="1" t="s">
        <v>25</v>
      </c>
      <c r="O208" s="8">
        <v>5000</v>
      </c>
    </row>
    <row r="209" spans="1:15" ht="15.7" customHeight="1" x14ac:dyDescent="0.3">
      <c r="A209" s="1" t="s">
        <v>448</v>
      </c>
      <c r="B209" s="1" t="s">
        <v>449</v>
      </c>
      <c r="C209" s="1" t="s">
        <v>41</v>
      </c>
      <c r="D209" s="1" t="s">
        <v>196</v>
      </c>
      <c r="E209" s="1" t="s">
        <v>855</v>
      </c>
      <c r="F209" s="1" t="s">
        <v>29</v>
      </c>
      <c r="G209" s="2">
        <v>45458</v>
      </c>
      <c r="H209" s="2">
        <v>45278</v>
      </c>
      <c r="I209" s="1" t="s">
        <v>20</v>
      </c>
      <c r="J209" s="1" t="s">
        <v>21</v>
      </c>
      <c r="K209" s="1" t="s">
        <v>22</v>
      </c>
      <c r="L209" s="1" t="s">
        <v>23</v>
      </c>
      <c r="M209" s="1" t="s">
        <v>24</v>
      </c>
      <c r="N209" s="1" t="s">
        <v>25</v>
      </c>
      <c r="O209" s="8">
        <v>5000</v>
      </c>
    </row>
    <row r="210" spans="1:15" ht="15.7" customHeight="1" x14ac:dyDescent="0.3">
      <c r="A210" s="1" t="s">
        <v>450</v>
      </c>
      <c r="B210" s="1" t="s">
        <v>451</v>
      </c>
      <c r="C210" s="1" t="s">
        <v>41</v>
      </c>
      <c r="D210" s="1" t="s">
        <v>18</v>
      </c>
      <c r="E210" s="1" t="s">
        <v>855</v>
      </c>
      <c r="F210" s="1" t="s">
        <v>29</v>
      </c>
      <c r="G210" s="2">
        <v>45458</v>
      </c>
      <c r="H210" s="2">
        <v>45278</v>
      </c>
      <c r="I210" s="1" t="s">
        <v>76</v>
      </c>
      <c r="J210" s="1" t="s">
        <v>21</v>
      </c>
      <c r="K210" s="1" t="s">
        <v>30</v>
      </c>
      <c r="L210" s="1" t="s">
        <v>23</v>
      </c>
      <c r="M210" s="1" t="s">
        <v>24</v>
      </c>
      <c r="N210" s="1" t="s">
        <v>25</v>
      </c>
      <c r="O210" s="8">
        <v>5000</v>
      </c>
    </row>
    <row r="211" spans="1:15" ht="15.7" customHeight="1" x14ac:dyDescent="0.3">
      <c r="A211" s="1" t="s">
        <v>452</v>
      </c>
      <c r="B211" s="1" t="s">
        <v>453</v>
      </c>
      <c r="C211" s="1" t="s">
        <v>34</v>
      </c>
      <c r="D211" s="1" t="s">
        <v>18</v>
      </c>
      <c r="E211" s="1" t="s">
        <v>855</v>
      </c>
      <c r="F211" s="1" t="s">
        <v>29</v>
      </c>
      <c r="G211" s="2">
        <v>45458</v>
      </c>
      <c r="H211" s="2">
        <v>45278</v>
      </c>
      <c r="I211" s="1" t="s">
        <v>76</v>
      </c>
      <c r="J211" s="1" t="s">
        <v>21</v>
      </c>
      <c r="K211" s="1" t="s">
        <v>22</v>
      </c>
      <c r="L211" s="1" t="s">
        <v>111</v>
      </c>
      <c r="M211" s="1" t="s">
        <v>44</v>
      </c>
      <c r="N211" s="1" t="s">
        <v>25</v>
      </c>
      <c r="O211" s="8">
        <v>5000</v>
      </c>
    </row>
    <row r="212" spans="1:15" ht="15.7" customHeight="1" x14ac:dyDescent="0.3">
      <c r="A212" s="1" t="s">
        <v>454</v>
      </c>
      <c r="B212" s="1" t="s">
        <v>455</v>
      </c>
      <c r="C212" s="1" t="s">
        <v>17</v>
      </c>
      <c r="D212" s="1" t="s">
        <v>18</v>
      </c>
      <c r="E212" s="1" t="s">
        <v>855</v>
      </c>
      <c r="F212" s="1" t="s">
        <v>29</v>
      </c>
      <c r="G212" s="2">
        <v>45458</v>
      </c>
      <c r="H212" s="2">
        <v>45278</v>
      </c>
      <c r="I212" s="1" t="s">
        <v>76</v>
      </c>
      <c r="J212" s="1" t="s">
        <v>21</v>
      </c>
      <c r="K212" s="1" t="s">
        <v>36</v>
      </c>
      <c r="L212" s="1" t="s">
        <v>91</v>
      </c>
      <c r="M212" s="1" t="s">
        <v>44</v>
      </c>
      <c r="N212" s="1" t="s">
        <v>25</v>
      </c>
      <c r="O212" s="8">
        <v>5000</v>
      </c>
    </row>
    <row r="213" spans="1:15" ht="15.7" customHeight="1" x14ac:dyDescent="0.3">
      <c r="A213" s="1" t="s">
        <v>456</v>
      </c>
      <c r="B213" s="1" t="s">
        <v>457</v>
      </c>
      <c r="C213" s="1" t="s">
        <v>41</v>
      </c>
      <c r="D213" s="1" t="s">
        <v>18</v>
      </c>
      <c r="E213" s="1" t="s">
        <v>855</v>
      </c>
      <c r="F213" s="1" t="s">
        <v>29</v>
      </c>
      <c r="G213" s="2">
        <v>45458</v>
      </c>
      <c r="H213" s="2">
        <v>45278</v>
      </c>
      <c r="I213" s="1" t="s">
        <v>76</v>
      </c>
      <c r="J213" s="1" t="s">
        <v>21</v>
      </c>
      <c r="K213" s="1" t="s">
        <v>22</v>
      </c>
      <c r="L213" s="1" t="s">
        <v>167</v>
      </c>
      <c r="M213" s="1" t="s">
        <v>857</v>
      </c>
      <c r="N213" s="1" t="s">
        <v>25</v>
      </c>
      <c r="O213" s="8">
        <v>5000</v>
      </c>
    </row>
    <row r="214" spans="1:15" ht="15.7" customHeight="1" x14ac:dyDescent="0.3">
      <c r="A214" s="1" t="s">
        <v>458</v>
      </c>
      <c r="B214" s="1" t="s">
        <v>459</v>
      </c>
      <c r="C214" s="1" t="s">
        <v>34</v>
      </c>
      <c r="D214" s="1" t="s">
        <v>18</v>
      </c>
      <c r="E214" s="1" t="s">
        <v>855</v>
      </c>
      <c r="F214" s="1" t="s">
        <v>29</v>
      </c>
      <c r="G214" s="2">
        <v>45458</v>
      </c>
      <c r="H214" s="2">
        <v>45278</v>
      </c>
      <c r="I214" s="1" t="s">
        <v>76</v>
      </c>
      <c r="J214" s="1" t="s">
        <v>35</v>
      </c>
      <c r="K214" s="1" t="s">
        <v>30</v>
      </c>
      <c r="L214" s="1" t="s">
        <v>23</v>
      </c>
      <c r="M214" s="1" t="s">
        <v>24</v>
      </c>
      <c r="N214" s="1" t="s">
        <v>25</v>
      </c>
      <c r="O214" s="8">
        <v>5000</v>
      </c>
    </row>
    <row r="215" spans="1:15" ht="15.7" customHeight="1" x14ac:dyDescent="0.3">
      <c r="A215" s="1" t="s">
        <v>460</v>
      </c>
      <c r="B215" s="1" t="s">
        <v>461</v>
      </c>
      <c r="C215" s="1" t="s">
        <v>17</v>
      </c>
      <c r="D215" s="1" t="s">
        <v>18</v>
      </c>
      <c r="E215" s="1" t="s">
        <v>855</v>
      </c>
      <c r="F215" s="1" t="s">
        <v>29</v>
      </c>
      <c r="G215" s="2">
        <v>45458</v>
      </c>
      <c r="H215" s="2">
        <v>45278</v>
      </c>
      <c r="I215" s="1" t="s">
        <v>76</v>
      </c>
      <c r="J215" s="1" t="s">
        <v>21</v>
      </c>
      <c r="K215" s="1" t="s">
        <v>30</v>
      </c>
      <c r="L215" s="1" t="s">
        <v>23</v>
      </c>
      <c r="M215" s="1" t="s">
        <v>24</v>
      </c>
      <c r="N215" s="1" t="s">
        <v>25</v>
      </c>
      <c r="O215" s="8">
        <v>5000</v>
      </c>
    </row>
    <row r="216" spans="1:15" ht="15.7" customHeight="1" x14ac:dyDescent="0.3">
      <c r="A216" s="1" t="s">
        <v>462</v>
      </c>
      <c r="B216" s="1" t="s">
        <v>463</v>
      </c>
      <c r="C216" s="1" t="s">
        <v>41</v>
      </c>
      <c r="D216" s="1" t="s">
        <v>18</v>
      </c>
      <c r="E216" s="1" t="s">
        <v>855</v>
      </c>
      <c r="F216" s="1" t="s">
        <v>29</v>
      </c>
      <c r="G216" s="2">
        <v>45458</v>
      </c>
      <c r="H216" s="2">
        <v>45278</v>
      </c>
      <c r="I216" s="1" t="s">
        <v>20</v>
      </c>
      <c r="J216" s="1" t="s">
        <v>21</v>
      </c>
      <c r="K216" s="1" t="s">
        <v>36</v>
      </c>
      <c r="L216" s="1" t="s">
        <v>23</v>
      </c>
      <c r="M216" s="1" t="s">
        <v>24</v>
      </c>
      <c r="N216" s="1" t="s">
        <v>25</v>
      </c>
      <c r="O216" s="8">
        <v>5000</v>
      </c>
    </row>
    <row r="217" spans="1:15" ht="15.7" customHeight="1" x14ac:dyDescent="0.3">
      <c r="A217" s="1" t="s">
        <v>464</v>
      </c>
      <c r="B217" s="1" t="s">
        <v>465</v>
      </c>
      <c r="C217" s="1" t="s">
        <v>41</v>
      </c>
      <c r="D217" s="1" t="s">
        <v>18</v>
      </c>
      <c r="E217" s="1" t="s">
        <v>855</v>
      </c>
      <c r="F217" s="1" t="s">
        <v>29</v>
      </c>
      <c r="G217" s="2">
        <v>45458</v>
      </c>
      <c r="H217" s="2">
        <v>45278</v>
      </c>
      <c r="I217" s="1" t="s">
        <v>20</v>
      </c>
      <c r="J217" s="1" t="s">
        <v>35</v>
      </c>
      <c r="K217" s="1" t="s">
        <v>22</v>
      </c>
      <c r="L217" s="1" t="s">
        <v>23</v>
      </c>
      <c r="M217" s="1" t="s">
        <v>24</v>
      </c>
      <c r="N217" s="1" t="s">
        <v>25</v>
      </c>
      <c r="O217" s="8">
        <v>5000</v>
      </c>
    </row>
    <row r="218" spans="1:15" ht="15.7" customHeight="1" x14ac:dyDescent="0.3">
      <c r="A218" s="1" t="s">
        <v>466</v>
      </c>
      <c r="B218" s="1" t="s">
        <v>467</v>
      </c>
      <c r="C218" s="1" t="s">
        <v>34</v>
      </c>
      <c r="D218" s="1" t="s">
        <v>18</v>
      </c>
      <c r="E218" s="1" t="s">
        <v>855</v>
      </c>
      <c r="F218" s="1" t="s">
        <v>29</v>
      </c>
      <c r="G218" s="2">
        <v>45458</v>
      </c>
      <c r="H218" s="2">
        <v>45278</v>
      </c>
      <c r="I218" s="1" t="s">
        <v>20</v>
      </c>
      <c r="J218" s="1" t="s">
        <v>21</v>
      </c>
      <c r="K218" s="1" t="s">
        <v>36</v>
      </c>
      <c r="L218" s="1" t="s">
        <v>23</v>
      </c>
      <c r="M218" s="1" t="s">
        <v>24</v>
      </c>
      <c r="N218" s="1" t="s">
        <v>25</v>
      </c>
      <c r="O218" s="8">
        <v>5000</v>
      </c>
    </row>
    <row r="219" spans="1:15" ht="15.7" customHeight="1" x14ac:dyDescent="0.3">
      <c r="A219" s="1" t="s">
        <v>468</v>
      </c>
      <c r="B219" s="1" t="s">
        <v>469</v>
      </c>
      <c r="C219" s="1" t="s">
        <v>41</v>
      </c>
      <c r="D219" s="1" t="s">
        <v>18</v>
      </c>
      <c r="E219" s="1" t="s">
        <v>855</v>
      </c>
      <c r="F219" s="1" t="s">
        <v>29</v>
      </c>
      <c r="G219" s="2">
        <v>45458</v>
      </c>
      <c r="H219" s="2">
        <v>45278</v>
      </c>
      <c r="I219" s="1" t="s">
        <v>20</v>
      </c>
      <c r="J219" s="1" t="s">
        <v>21</v>
      </c>
      <c r="K219" s="1" t="s">
        <v>36</v>
      </c>
      <c r="L219" s="1" t="s">
        <v>23</v>
      </c>
      <c r="M219" s="1" t="s">
        <v>24</v>
      </c>
      <c r="N219" s="1" t="s">
        <v>25</v>
      </c>
      <c r="O219" s="8">
        <v>5000</v>
      </c>
    </row>
    <row r="220" spans="1:15" ht="15.7" customHeight="1" x14ac:dyDescent="0.3">
      <c r="A220" s="1" t="s">
        <v>470</v>
      </c>
      <c r="B220" s="1" t="s">
        <v>471</v>
      </c>
      <c r="C220" s="1" t="s">
        <v>17</v>
      </c>
      <c r="D220" s="1" t="s">
        <v>18</v>
      </c>
      <c r="E220" s="1" t="s">
        <v>855</v>
      </c>
      <c r="F220" s="1" t="s">
        <v>29</v>
      </c>
      <c r="G220" s="2">
        <v>45458</v>
      </c>
      <c r="H220" s="2">
        <v>45278</v>
      </c>
      <c r="I220" s="1" t="s">
        <v>20</v>
      </c>
      <c r="J220" s="1" t="s">
        <v>21</v>
      </c>
      <c r="K220" s="1" t="s">
        <v>30</v>
      </c>
      <c r="L220" s="1" t="s">
        <v>91</v>
      </c>
      <c r="M220" s="1" t="s">
        <v>44</v>
      </c>
      <c r="N220" s="1" t="s">
        <v>25</v>
      </c>
      <c r="O220" s="8">
        <v>5000</v>
      </c>
    </row>
    <row r="221" spans="1:15" ht="15.7" customHeight="1" x14ac:dyDescent="0.3">
      <c r="A221" s="1" t="s">
        <v>472</v>
      </c>
      <c r="B221" s="1" t="s">
        <v>473</v>
      </c>
      <c r="C221" s="1" t="s">
        <v>41</v>
      </c>
      <c r="D221" s="1" t="s">
        <v>18</v>
      </c>
      <c r="E221" s="1" t="s">
        <v>855</v>
      </c>
      <c r="F221" s="1" t="s">
        <v>29</v>
      </c>
      <c r="G221" s="2">
        <v>45458</v>
      </c>
      <c r="H221" s="2">
        <v>45278</v>
      </c>
      <c r="I221" s="1" t="s">
        <v>20</v>
      </c>
      <c r="J221" s="1" t="s">
        <v>21</v>
      </c>
      <c r="K221" s="1" t="s">
        <v>36</v>
      </c>
      <c r="L221" s="1" t="s">
        <v>474</v>
      </c>
      <c r="M221" s="1" t="s">
        <v>277</v>
      </c>
      <c r="N221" s="1" t="s">
        <v>25</v>
      </c>
      <c r="O221" s="8">
        <v>5000</v>
      </c>
    </row>
    <row r="222" spans="1:15" ht="15.7" customHeight="1" x14ac:dyDescent="0.3">
      <c r="A222" s="1" t="s">
        <v>475</v>
      </c>
      <c r="B222" s="1" t="s">
        <v>476</v>
      </c>
      <c r="C222" s="1" t="s">
        <v>41</v>
      </c>
      <c r="D222" s="1" t="s">
        <v>18</v>
      </c>
      <c r="E222" s="1" t="s">
        <v>855</v>
      </c>
      <c r="F222" s="1" t="s">
        <v>29</v>
      </c>
      <c r="G222" s="2">
        <v>45458</v>
      </c>
      <c r="H222" s="2">
        <v>45278</v>
      </c>
      <c r="I222" s="1" t="s">
        <v>76</v>
      </c>
      <c r="J222" s="1" t="s">
        <v>21</v>
      </c>
      <c r="K222" s="1" t="s">
        <v>36</v>
      </c>
      <c r="L222" s="1" t="s">
        <v>214</v>
      </c>
      <c r="M222" s="1" t="s">
        <v>24</v>
      </c>
      <c r="N222" s="1" t="s">
        <v>25</v>
      </c>
      <c r="O222" s="8">
        <v>5000</v>
      </c>
    </row>
    <row r="223" spans="1:15" ht="15.7" customHeight="1" x14ac:dyDescent="0.3">
      <c r="A223" s="1" t="s">
        <v>477</v>
      </c>
      <c r="B223" s="1" t="s">
        <v>478</v>
      </c>
      <c r="C223" s="1" t="s">
        <v>34</v>
      </c>
      <c r="D223" s="1" t="s">
        <v>196</v>
      </c>
      <c r="E223" s="1" t="s">
        <v>855</v>
      </c>
      <c r="F223" s="1" t="s">
        <v>29</v>
      </c>
      <c r="G223" s="2">
        <v>45458</v>
      </c>
      <c r="H223" s="2">
        <v>45278</v>
      </c>
      <c r="I223" s="1" t="s">
        <v>20</v>
      </c>
      <c r="J223" s="1" t="s">
        <v>21</v>
      </c>
      <c r="K223" s="1" t="s">
        <v>36</v>
      </c>
      <c r="L223" s="1" t="s">
        <v>23</v>
      </c>
      <c r="M223" s="1" t="s">
        <v>24</v>
      </c>
      <c r="N223" s="1" t="s">
        <v>25</v>
      </c>
      <c r="O223" s="8">
        <v>5000</v>
      </c>
    </row>
    <row r="224" spans="1:15" ht="15.7" customHeight="1" x14ac:dyDescent="0.3">
      <c r="A224" s="1" t="s">
        <v>479</v>
      </c>
      <c r="B224" s="1" t="s">
        <v>480</v>
      </c>
      <c r="C224" s="1" t="s">
        <v>41</v>
      </c>
      <c r="D224" s="1" t="s">
        <v>18</v>
      </c>
      <c r="E224" s="1" t="s">
        <v>855</v>
      </c>
      <c r="F224" s="1" t="s">
        <v>29</v>
      </c>
      <c r="G224" s="2">
        <v>45458</v>
      </c>
      <c r="H224" s="2">
        <v>45278</v>
      </c>
      <c r="I224" s="1" t="s">
        <v>20</v>
      </c>
      <c r="J224" s="1" t="s">
        <v>21</v>
      </c>
      <c r="K224" s="1" t="s">
        <v>22</v>
      </c>
      <c r="L224" s="1" t="s">
        <v>111</v>
      </c>
      <c r="M224" s="1" t="s">
        <v>44</v>
      </c>
      <c r="N224" s="1" t="s">
        <v>25</v>
      </c>
      <c r="O224" s="8">
        <v>5000</v>
      </c>
    </row>
    <row r="225" spans="1:15" ht="15.7" customHeight="1" x14ac:dyDescent="0.3">
      <c r="A225" s="1" t="s">
        <v>481</v>
      </c>
      <c r="B225" s="1" t="s">
        <v>482</v>
      </c>
      <c r="C225" s="1" t="s">
        <v>41</v>
      </c>
      <c r="D225" s="1" t="s">
        <v>18</v>
      </c>
      <c r="E225" s="1" t="s">
        <v>855</v>
      </c>
      <c r="F225" s="1" t="s">
        <v>29</v>
      </c>
      <c r="G225" s="2">
        <v>45458</v>
      </c>
      <c r="H225" s="2">
        <v>45278</v>
      </c>
      <c r="I225" s="1" t="s">
        <v>76</v>
      </c>
      <c r="J225" s="1" t="s">
        <v>21</v>
      </c>
      <c r="K225" s="1" t="s">
        <v>22</v>
      </c>
      <c r="L225" s="1" t="s">
        <v>219</v>
      </c>
      <c r="M225" s="1" t="s">
        <v>44</v>
      </c>
      <c r="N225" s="1" t="s">
        <v>25</v>
      </c>
      <c r="O225" s="8">
        <v>5000</v>
      </c>
    </row>
    <row r="226" spans="1:15" ht="15.7" customHeight="1" x14ac:dyDescent="0.3">
      <c r="A226" s="1" t="s">
        <v>483</v>
      </c>
      <c r="B226" s="1" t="s">
        <v>484</v>
      </c>
      <c r="C226" s="1" t="s">
        <v>17</v>
      </c>
      <c r="D226" s="1" t="s">
        <v>18</v>
      </c>
      <c r="E226" s="1" t="s">
        <v>855</v>
      </c>
      <c r="F226" s="1" t="s">
        <v>29</v>
      </c>
      <c r="G226" s="2">
        <v>45459</v>
      </c>
      <c r="H226" s="2">
        <v>45279</v>
      </c>
      <c r="I226" s="1" t="s">
        <v>20</v>
      </c>
      <c r="J226" s="1" t="s">
        <v>21</v>
      </c>
      <c r="K226" s="1" t="s">
        <v>22</v>
      </c>
      <c r="L226" s="1" t="s">
        <v>219</v>
      </c>
      <c r="M226" s="1" t="s">
        <v>44</v>
      </c>
      <c r="N226" s="1" t="s">
        <v>25</v>
      </c>
      <c r="O226" s="8">
        <v>5000</v>
      </c>
    </row>
    <row r="227" spans="1:15" ht="15.7" customHeight="1" x14ac:dyDescent="0.3">
      <c r="A227" s="1" t="s">
        <v>485</v>
      </c>
      <c r="B227" s="1" t="s">
        <v>486</v>
      </c>
      <c r="C227" s="1" t="s">
        <v>34</v>
      </c>
      <c r="D227" s="1" t="s">
        <v>18</v>
      </c>
      <c r="E227" s="1" t="s">
        <v>855</v>
      </c>
      <c r="F227" s="1" t="s">
        <v>29</v>
      </c>
      <c r="G227" s="2">
        <v>45459</v>
      </c>
      <c r="H227" s="2">
        <v>45279</v>
      </c>
      <c r="I227" s="1" t="s">
        <v>20</v>
      </c>
      <c r="J227" s="1" t="s">
        <v>21</v>
      </c>
      <c r="K227" s="1" t="s">
        <v>22</v>
      </c>
      <c r="L227" s="1" t="s">
        <v>214</v>
      </c>
      <c r="M227" s="1" t="s">
        <v>24</v>
      </c>
      <c r="N227" s="1" t="s">
        <v>25</v>
      </c>
      <c r="O227" s="8">
        <v>5000</v>
      </c>
    </row>
    <row r="228" spans="1:15" ht="15.7" customHeight="1" x14ac:dyDescent="0.3">
      <c r="A228" s="1" t="s">
        <v>487</v>
      </c>
      <c r="B228" s="1" t="s">
        <v>488</v>
      </c>
      <c r="C228" s="1" t="s">
        <v>41</v>
      </c>
      <c r="D228" s="1" t="s">
        <v>18</v>
      </c>
      <c r="E228" s="1" t="s">
        <v>855</v>
      </c>
      <c r="F228" s="1" t="s">
        <v>29</v>
      </c>
      <c r="G228" s="2">
        <v>45459</v>
      </c>
      <c r="H228" s="2">
        <v>45279</v>
      </c>
      <c r="I228" s="1" t="s">
        <v>20</v>
      </c>
      <c r="J228" s="1" t="s">
        <v>21</v>
      </c>
      <c r="K228" s="1" t="s">
        <v>110</v>
      </c>
      <c r="L228" s="1" t="s">
        <v>219</v>
      </c>
      <c r="M228" s="1" t="s">
        <v>44</v>
      </c>
      <c r="N228" s="1" t="s">
        <v>25</v>
      </c>
      <c r="O228" s="8">
        <v>5000</v>
      </c>
    </row>
    <row r="229" spans="1:15" ht="15.7" customHeight="1" x14ac:dyDescent="0.3">
      <c r="A229" s="1" t="s">
        <v>489</v>
      </c>
      <c r="B229" s="1" t="s">
        <v>490</v>
      </c>
      <c r="C229" s="1" t="s">
        <v>34</v>
      </c>
      <c r="D229" s="1" t="s">
        <v>18</v>
      </c>
      <c r="E229" s="1" t="s">
        <v>855</v>
      </c>
      <c r="F229" s="1" t="s">
        <v>29</v>
      </c>
      <c r="G229" s="2">
        <v>45459</v>
      </c>
      <c r="H229" s="2">
        <v>45279</v>
      </c>
      <c r="I229" s="1" t="s">
        <v>20</v>
      </c>
      <c r="J229" s="1" t="s">
        <v>21</v>
      </c>
      <c r="K229" s="1" t="s">
        <v>30</v>
      </c>
      <c r="L229" s="1" t="s">
        <v>214</v>
      </c>
      <c r="M229" s="1" t="s">
        <v>24</v>
      </c>
      <c r="N229" s="1" t="s">
        <v>25</v>
      </c>
      <c r="O229" s="8">
        <v>5000</v>
      </c>
    </row>
    <row r="230" spans="1:15" ht="15.7" customHeight="1" x14ac:dyDescent="0.3">
      <c r="A230" s="1" t="s">
        <v>491</v>
      </c>
      <c r="B230" s="1" t="s">
        <v>492</v>
      </c>
      <c r="C230" s="1" t="s">
        <v>41</v>
      </c>
      <c r="D230" s="1" t="s">
        <v>18</v>
      </c>
      <c r="E230" s="1" t="s">
        <v>855</v>
      </c>
      <c r="F230" s="1" t="s">
        <v>29</v>
      </c>
      <c r="G230" s="2">
        <v>45460</v>
      </c>
      <c r="H230" s="2">
        <v>45280</v>
      </c>
      <c r="I230" s="1" t="s">
        <v>76</v>
      </c>
      <c r="J230" s="1" t="s">
        <v>21</v>
      </c>
      <c r="K230" s="1" t="s">
        <v>22</v>
      </c>
      <c r="L230" s="1" t="s">
        <v>91</v>
      </c>
      <c r="M230" s="1" t="s">
        <v>44</v>
      </c>
      <c r="N230" s="1" t="s">
        <v>25</v>
      </c>
      <c r="O230" s="8">
        <v>5000</v>
      </c>
    </row>
    <row r="231" spans="1:15" ht="15.7" customHeight="1" x14ac:dyDescent="0.3">
      <c r="A231" s="1" t="s">
        <v>493</v>
      </c>
      <c r="B231" s="1" t="s">
        <v>494</v>
      </c>
      <c r="C231" s="1" t="s">
        <v>41</v>
      </c>
      <c r="D231" s="1" t="s">
        <v>18</v>
      </c>
      <c r="E231" s="1" t="s">
        <v>855</v>
      </c>
      <c r="F231" s="1" t="s">
        <v>29</v>
      </c>
      <c r="G231" s="2">
        <v>45460</v>
      </c>
      <c r="H231" s="2">
        <v>45280</v>
      </c>
      <c r="I231" s="1" t="s">
        <v>76</v>
      </c>
      <c r="J231" s="1" t="s">
        <v>21</v>
      </c>
      <c r="K231" s="1" t="s">
        <v>54</v>
      </c>
      <c r="L231" s="1" t="s">
        <v>23</v>
      </c>
      <c r="M231" s="1" t="s">
        <v>24</v>
      </c>
      <c r="N231" s="1" t="s">
        <v>25</v>
      </c>
      <c r="O231" s="8">
        <v>5000</v>
      </c>
    </row>
    <row r="232" spans="1:15" ht="15.7" customHeight="1" x14ac:dyDescent="0.3">
      <c r="A232" s="1" t="s">
        <v>495</v>
      </c>
      <c r="B232" s="1" t="s">
        <v>496</v>
      </c>
      <c r="C232" s="1" t="s">
        <v>41</v>
      </c>
      <c r="D232" s="1" t="s">
        <v>18</v>
      </c>
      <c r="E232" s="1" t="s">
        <v>855</v>
      </c>
      <c r="F232" s="1" t="s">
        <v>29</v>
      </c>
      <c r="G232" s="2">
        <v>45460</v>
      </c>
      <c r="H232" s="2">
        <v>45280</v>
      </c>
      <c r="I232" s="1" t="s">
        <v>76</v>
      </c>
      <c r="J232" s="1" t="s">
        <v>21</v>
      </c>
      <c r="K232" s="1" t="s">
        <v>22</v>
      </c>
      <c r="L232" s="1" t="s">
        <v>23</v>
      </c>
      <c r="M232" s="1" t="s">
        <v>24</v>
      </c>
      <c r="N232" s="1" t="s">
        <v>25</v>
      </c>
      <c r="O232" s="8">
        <v>5000</v>
      </c>
    </row>
    <row r="233" spans="1:15" ht="15.7" customHeight="1" x14ac:dyDescent="0.3">
      <c r="A233" s="1" t="s">
        <v>497</v>
      </c>
      <c r="B233" s="1" t="s">
        <v>498</v>
      </c>
      <c r="C233" s="1" t="s">
        <v>199</v>
      </c>
      <c r="D233" s="1" t="s">
        <v>18</v>
      </c>
      <c r="E233" s="1" t="s">
        <v>855</v>
      </c>
      <c r="F233" s="1" t="s">
        <v>29</v>
      </c>
      <c r="G233" s="2">
        <v>45460</v>
      </c>
      <c r="H233" s="2">
        <v>45280</v>
      </c>
      <c r="I233" s="1" t="s">
        <v>20</v>
      </c>
      <c r="J233" s="1" t="s">
        <v>21</v>
      </c>
      <c r="K233" s="1" t="s">
        <v>22</v>
      </c>
      <c r="L233" s="1" t="s">
        <v>23</v>
      </c>
      <c r="M233" s="1" t="s">
        <v>24</v>
      </c>
      <c r="N233" s="1" t="s">
        <v>25</v>
      </c>
      <c r="O233" s="8">
        <v>5000</v>
      </c>
    </row>
    <row r="234" spans="1:15" ht="15.7" customHeight="1" x14ac:dyDescent="0.3">
      <c r="A234" s="1" t="s">
        <v>499</v>
      </c>
      <c r="B234" s="1" t="s">
        <v>500</v>
      </c>
      <c r="C234" s="1" t="s">
        <v>41</v>
      </c>
      <c r="D234" s="1" t="s">
        <v>18</v>
      </c>
      <c r="E234" s="1" t="s">
        <v>855</v>
      </c>
      <c r="F234" s="1" t="s">
        <v>29</v>
      </c>
      <c r="G234" s="2">
        <v>45460</v>
      </c>
      <c r="H234" s="2">
        <v>45280</v>
      </c>
      <c r="I234" s="1" t="s">
        <v>20</v>
      </c>
      <c r="J234" s="1" t="s">
        <v>21</v>
      </c>
      <c r="K234" s="1" t="s">
        <v>54</v>
      </c>
      <c r="L234" s="1" t="s">
        <v>167</v>
      </c>
      <c r="M234" s="1" t="s">
        <v>857</v>
      </c>
      <c r="N234" s="1" t="s">
        <v>25</v>
      </c>
      <c r="O234" s="8">
        <v>5000</v>
      </c>
    </row>
    <row r="235" spans="1:15" ht="15.7" customHeight="1" x14ac:dyDescent="0.3">
      <c r="A235" s="1" t="s">
        <v>501</v>
      </c>
      <c r="B235" s="1" t="s">
        <v>502</v>
      </c>
      <c r="C235" s="1" t="s">
        <v>41</v>
      </c>
      <c r="D235" s="1" t="s">
        <v>18</v>
      </c>
      <c r="E235" s="1" t="s">
        <v>855</v>
      </c>
      <c r="F235" s="1" t="s">
        <v>29</v>
      </c>
      <c r="G235" s="2">
        <v>45460</v>
      </c>
      <c r="H235" s="2">
        <v>45280</v>
      </c>
      <c r="I235" s="1" t="s">
        <v>76</v>
      </c>
      <c r="J235" s="1" t="s">
        <v>35</v>
      </c>
      <c r="K235" s="1" t="s">
        <v>30</v>
      </c>
      <c r="L235" s="1" t="s">
        <v>23</v>
      </c>
      <c r="M235" s="1" t="s">
        <v>24</v>
      </c>
      <c r="N235" s="1" t="s">
        <v>25</v>
      </c>
      <c r="O235" s="8">
        <v>5000</v>
      </c>
    </row>
    <row r="236" spans="1:15" ht="15.7" customHeight="1" x14ac:dyDescent="0.3">
      <c r="A236" s="1" t="s">
        <v>503</v>
      </c>
      <c r="B236" s="1" t="s">
        <v>504</v>
      </c>
      <c r="C236" s="1" t="s">
        <v>41</v>
      </c>
      <c r="D236" s="1" t="s">
        <v>18</v>
      </c>
      <c r="E236" s="1" t="s">
        <v>855</v>
      </c>
      <c r="F236" s="1" t="s">
        <v>29</v>
      </c>
      <c r="G236" s="2">
        <v>45460</v>
      </c>
      <c r="H236" s="2">
        <v>45280</v>
      </c>
      <c r="I236" s="1" t="s">
        <v>76</v>
      </c>
      <c r="J236" s="1" t="s">
        <v>21</v>
      </c>
      <c r="K236" s="1" t="s">
        <v>30</v>
      </c>
      <c r="L236" s="1" t="s">
        <v>185</v>
      </c>
      <c r="M236" s="1" t="s">
        <v>277</v>
      </c>
      <c r="N236" s="1" t="s">
        <v>25</v>
      </c>
      <c r="O236" s="8">
        <v>5000</v>
      </c>
    </row>
    <row r="237" spans="1:15" ht="15.7" customHeight="1" x14ac:dyDescent="0.3">
      <c r="A237" s="1" t="s">
        <v>505</v>
      </c>
      <c r="B237" s="1" t="s">
        <v>506</v>
      </c>
      <c r="C237" s="1" t="s">
        <v>41</v>
      </c>
      <c r="D237" s="1" t="s">
        <v>18</v>
      </c>
      <c r="E237" s="1" t="s">
        <v>855</v>
      </c>
      <c r="F237" s="1" t="s">
        <v>29</v>
      </c>
      <c r="G237" s="2">
        <v>45460</v>
      </c>
      <c r="H237" s="2">
        <v>45280</v>
      </c>
      <c r="I237" s="1" t="s">
        <v>76</v>
      </c>
      <c r="J237" s="1" t="s">
        <v>21</v>
      </c>
      <c r="K237" s="1" t="s">
        <v>30</v>
      </c>
      <c r="L237" s="1" t="s">
        <v>214</v>
      </c>
      <c r="M237" s="1" t="s">
        <v>24</v>
      </c>
      <c r="N237" s="1" t="s">
        <v>25</v>
      </c>
      <c r="O237" s="8">
        <v>5000</v>
      </c>
    </row>
    <row r="238" spans="1:15" ht="15.7" customHeight="1" x14ac:dyDescent="0.3">
      <c r="A238" s="1" t="s">
        <v>507</v>
      </c>
      <c r="B238" s="1" t="s">
        <v>508</v>
      </c>
      <c r="C238" s="1" t="s">
        <v>41</v>
      </c>
      <c r="D238" s="1" t="s">
        <v>18</v>
      </c>
      <c r="E238" s="1" t="s">
        <v>855</v>
      </c>
      <c r="F238" s="1" t="s">
        <v>29</v>
      </c>
      <c r="G238" s="2">
        <v>45460</v>
      </c>
      <c r="H238" s="2">
        <v>45280</v>
      </c>
      <c r="I238" s="1" t="s">
        <v>76</v>
      </c>
      <c r="J238" s="1" t="s">
        <v>35</v>
      </c>
      <c r="K238" s="1" t="s">
        <v>509</v>
      </c>
      <c r="L238" s="1" t="s">
        <v>111</v>
      </c>
      <c r="M238" s="1" t="s">
        <v>44</v>
      </c>
      <c r="N238" s="1" t="s">
        <v>25</v>
      </c>
      <c r="O238" s="8">
        <v>5000</v>
      </c>
    </row>
    <row r="239" spans="1:15" ht="15.7" customHeight="1" x14ac:dyDescent="0.3">
      <c r="A239" s="1" t="s">
        <v>510</v>
      </c>
      <c r="B239" s="1" t="s">
        <v>511</v>
      </c>
      <c r="C239" s="1" t="s">
        <v>41</v>
      </c>
      <c r="D239" s="1" t="s">
        <v>18</v>
      </c>
      <c r="E239" s="1" t="s">
        <v>855</v>
      </c>
      <c r="F239" s="1" t="s">
        <v>29</v>
      </c>
      <c r="G239" s="2">
        <v>45460</v>
      </c>
      <c r="H239" s="2">
        <v>45280</v>
      </c>
      <c r="I239" s="1" t="s">
        <v>20</v>
      </c>
      <c r="J239" s="1" t="s">
        <v>21</v>
      </c>
      <c r="K239" s="1" t="s">
        <v>54</v>
      </c>
      <c r="L239" s="1" t="s">
        <v>91</v>
      </c>
      <c r="M239" s="1" t="s">
        <v>44</v>
      </c>
      <c r="N239" s="1" t="s">
        <v>25</v>
      </c>
      <c r="O239" s="8">
        <v>5000</v>
      </c>
    </row>
    <row r="240" spans="1:15" ht="15.7" customHeight="1" x14ac:dyDescent="0.3">
      <c r="A240" s="1" t="s">
        <v>512</v>
      </c>
      <c r="B240" s="1" t="s">
        <v>513</v>
      </c>
      <c r="C240" s="1" t="s">
        <v>34</v>
      </c>
      <c r="D240" s="1" t="s">
        <v>18</v>
      </c>
      <c r="E240" s="1" t="s">
        <v>855</v>
      </c>
      <c r="F240" s="1" t="s">
        <v>29</v>
      </c>
      <c r="G240" s="2">
        <v>45460</v>
      </c>
      <c r="H240" s="2">
        <v>45280</v>
      </c>
      <c r="I240" s="1" t="s">
        <v>76</v>
      </c>
      <c r="J240" s="1" t="s">
        <v>35</v>
      </c>
      <c r="K240" s="1" t="s">
        <v>54</v>
      </c>
      <c r="L240" s="1" t="s">
        <v>23</v>
      </c>
      <c r="M240" s="1" t="s">
        <v>24</v>
      </c>
      <c r="N240" s="1" t="s">
        <v>25</v>
      </c>
      <c r="O240" s="8">
        <v>5000</v>
      </c>
    </row>
    <row r="241" spans="1:15" ht="15.7" customHeight="1" x14ac:dyDescent="0.3">
      <c r="A241" s="1" t="s">
        <v>514</v>
      </c>
      <c r="B241" s="1" t="s">
        <v>515</v>
      </c>
      <c r="C241" s="1" t="s">
        <v>41</v>
      </c>
      <c r="D241" s="1" t="s">
        <v>18</v>
      </c>
      <c r="E241" s="1" t="s">
        <v>855</v>
      </c>
      <c r="F241" s="1" t="s">
        <v>29</v>
      </c>
      <c r="G241" s="2">
        <v>45460</v>
      </c>
      <c r="H241" s="2">
        <v>45280</v>
      </c>
      <c r="I241" s="1" t="s">
        <v>76</v>
      </c>
      <c r="J241" s="1" t="s">
        <v>21</v>
      </c>
      <c r="K241" s="1" t="s">
        <v>54</v>
      </c>
      <c r="L241" s="1" t="s">
        <v>23</v>
      </c>
      <c r="M241" s="1" t="s">
        <v>24</v>
      </c>
      <c r="N241" s="1" t="s">
        <v>25</v>
      </c>
      <c r="O241" s="8">
        <v>5000</v>
      </c>
    </row>
    <row r="242" spans="1:15" ht="15.7" customHeight="1" x14ac:dyDescent="0.3">
      <c r="A242" s="1" t="s">
        <v>516</v>
      </c>
      <c r="B242" s="1" t="s">
        <v>517</v>
      </c>
      <c r="C242" s="1" t="s">
        <v>17</v>
      </c>
      <c r="D242" s="1" t="s">
        <v>18</v>
      </c>
      <c r="E242" s="1" t="s">
        <v>855</v>
      </c>
      <c r="F242" s="1" t="s">
        <v>29</v>
      </c>
      <c r="G242" s="2">
        <v>45460</v>
      </c>
      <c r="H242" s="2">
        <v>45280</v>
      </c>
      <c r="I242" s="1" t="s">
        <v>76</v>
      </c>
      <c r="J242" s="1" t="s">
        <v>21</v>
      </c>
      <c r="K242" s="1" t="s">
        <v>110</v>
      </c>
      <c r="L242" s="1" t="s">
        <v>214</v>
      </c>
      <c r="M242" s="1" t="s">
        <v>24</v>
      </c>
      <c r="N242" s="1" t="s">
        <v>25</v>
      </c>
      <c r="O242" s="8">
        <v>5000</v>
      </c>
    </row>
    <row r="243" spans="1:15" ht="15.7" customHeight="1" x14ac:dyDescent="0.3">
      <c r="A243" s="1" t="s">
        <v>518</v>
      </c>
      <c r="B243" s="1" t="s">
        <v>519</v>
      </c>
      <c r="C243" s="1" t="s">
        <v>41</v>
      </c>
      <c r="D243" s="1" t="s">
        <v>18</v>
      </c>
      <c r="E243" s="1" t="s">
        <v>855</v>
      </c>
      <c r="F243" s="1" t="s">
        <v>29</v>
      </c>
      <c r="G243" s="2">
        <v>45460</v>
      </c>
      <c r="H243" s="2">
        <v>45280</v>
      </c>
      <c r="I243" s="1" t="s">
        <v>20</v>
      </c>
      <c r="J243" s="1" t="s">
        <v>21</v>
      </c>
      <c r="K243" s="1" t="s">
        <v>22</v>
      </c>
      <c r="L243" s="1" t="s">
        <v>91</v>
      </c>
      <c r="M243" s="1" t="s">
        <v>44</v>
      </c>
      <c r="N243" s="1" t="s">
        <v>25</v>
      </c>
      <c r="O243" s="8">
        <v>5000</v>
      </c>
    </row>
    <row r="244" spans="1:15" ht="15.7" customHeight="1" x14ac:dyDescent="0.3">
      <c r="A244" s="1" t="s">
        <v>520</v>
      </c>
      <c r="B244" s="1" t="s">
        <v>521</v>
      </c>
      <c r="C244" s="1" t="s">
        <v>41</v>
      </c>
      <c r="D244" s="1" t="s">
        <v>18</v>
      </c>
      <c r="E244" s="1" t="s">
        <v>855</v>
      </c>
      <c r="F244" s="1" t="s">
        <v>29</v>
      </c>
      <c r="G244" s="2">
        <v>45461</v>
      </c>
      <c r="H244" s="2">
        <v>45281</v>
      </c>
      <c r="I244" s="1" t="s">
        <v>20</v>
      </c>
      <c r="J244" s="1" t="s">
        <v>21</v>
      </c>
      <c r="K244" s="1" t="s">
        <v>36</v>
      </c>
      <c r="L244" s="1" t="s">
        <v>23</v>
      </c>
      <c r="M244" s="1" t="s">
        <v>24</v>
      </c>
      <c r="N244" s="1" t="s">
        <v>25</v>
      </c>
      <c r="O244" s="8">
        <v>5000</v>
      </c>
    </row>
    <row r="245" spans="1:15" ht="15.7" customHeight="1" x14ac:dyDescent="0.3">
      <c r="A245" s="1" t="s">
        <v>522</v>
      </c>
      <c r="B245" s="1" t="s">
        <v>523</v>
      </c>
      <c r="C245" s="1" t="s">
        <v>34</v>
      </c>
      <c r="D245" s="1" t="s">
        <v>18</v>
      </c>
      <c r="E245" s="1" t="s">
        <v>855</v>
      </c>
      <c r="F245" s="1" t="s">
        <v>29</v>
      </c>
      <c r="G245" s="2">
        <v>45461</v>
      </c>
      <c r="H245" s="2">
        <v>45281</v>
      </c>
      <c r="I245" s="1" t="s">
        <v>76</v>
      </c>
      <c r="J245" s="1" t="s">
        <v>21</v>
      </c>
      <c r="K245" s="1" t="s">
        <v>54</v>
      </c>
      <c r="L245" s="1" t="s">
        <v>91</v>
      </c>
      <c r="M245" s="1" t="s">
        <v>44</v>
      </c>
      <c r="N245" s="1" t="s">
        <v>25</v>
      </c>
      <c r="O245" s="8">
        <v>5000</v>
      </c>
    </row>
    <row r="246" spans="1:15" ht="15.7" customHeight="1" x14ac:dyDescent="0.3">
      <c r="A246" s="1" t="s">
        <v>524</v>
      </c>
      <c r="B246" s="1" t="s">
        <v>525</v>
      </c>
      <c r="C246" s="1" t="s">
        <v>41</v>
      </c>
      <c r="D246" s="1" t="s">
        <v>18</v>
      </c>
      <c r="E246" s="1" t="s">
        <v>855</v>
      </c>
      <c r="F246" s="1" t="s">
        <v>29</v>
      </c>
      <c r="G246" s="2">
        <v>45461</v>
      </c>
      <c r="H246" s="2">
        <v>45281</v>
      </c>
      <c r="I246" s="1" t="s">
        <v>76</v>
      </c>
      <c r="J246" s="1" t="s">
        <v>21</v>
      </c>
      <c r="K246" s="1" t="s">
        <v>36</v>
      </c>
      <c r="L246" s="1" t="s">
        <v>91</v>
      </c>
      <c r="M246" s="1" t="s">
        <v>44</v>
      </c>
      <c r="N246" s="1" t="s">
        <v>25</v>
      </c>
      <c r="O246" s="8">
        <v>5000</v>
      </c>
    </row>
    <row r="247" spans="1:15" ht="15.7" customHeight="1" x14ac:dyDescent="0.3">
      <c r="A247" s="1" t="s">
        <v>526</v>
      </c>
      <c r="B247" s="1" t="s">
        <v>527</v>
      </c>
      <c r="C247" s="1" t="s">
        <v>41</v>
      </c>
      <c r="D247" s="1" t="s">
        <v>18</v>
      </c>
      <c r="E247" s="1" t="s">
        <v>855</v>
      </c>
      <c r="F247" s="1" t="s">
        <v>29</v>
      </c>
      <c r="G247" s="2">
        <v>45461</v>
      </c>
      <c r="H247" s="2">
        <v>45281</v>
      </c>
      <c r="I247" s="1" t="s">
        <v>20</v>
      </c>
      <c r="J247" s="1" t="s">
        <v>21</v>
      </c>
      <c r="K247" s="1" t="s">
        <v>22</v>
      </c>
      <c r="L247" s="1" t="s">
        <v>37</v>
      </c>
      <c r="M247" s="1" t="s">
        <v>277</v>
      </c>
      <c r="N247" s="1" t="s">
        <v>25</v>
      </c>
      <c r="O247" s="8">
        <v>5000</v>
      </c>
    </row>
    <row r="248" spans="1:15" ht="15.7" customHeight="1" x14ac:dyDescent="0.3">
      <c r="A248" s="1" t="s">
        <v>528</v>
      </c>
      <c r="B248" s="1" t="s">
        <v>529</v>
      </c>
      <c r="C248" s="1" t="s">
        <v>17</v>
      </c>
      <c r="D248" s="1" t="s">
        <v>18</v>
      </c>
      <c r="E248" s="1" t="s">
        <v>855</v>
      </c>
      <c r="F248" s="1" t="s">
        <v>29</v>
      </c>
      <c r="G248" s="2">
        <v>45461</v>
      </c>
      <c r="H248" s="2">
        <v>45281</v>
      </c>
      <c r="I248" s="1" t="s">
        <v>76</v>
      </c>
      <c r="J248" s="1" t="s">
        <v>21</v>
      </c>
      <c r="K248" s="1" t="s">
        <v>30</v>
      </c>
      <c r="L248" s="1" t="s">
        <v>214</v>
      </c>
      <c r="M248" s="1" t="s">
        <v>24</v>
      </c>
      <c r="N248" s="1" t="s">
        <v>25</v>
      </c>
      <c r="O248" s="8">
        <v>5000</v>
      </c>
    </row>
    <row r="249" spans="1:15" ht="15.7" customHeight="1" x14ac:dyDescent="0.3">
      <c r="A249" s="1" t="s">
        <v>530</v>
      </c>
      <c r="B249" s="1" t="s">
        <v>531</v>
      </c>
      <c r="C249" s="1" t="s">
        <v>34</v>
      </c>
      <c r="D249" s="1" t="s">
        <v>18</v>
      </c>
      <c r="E249" s="1" t="s">
        <v>855</v>
      </c>
      <c r="F249" s="1" t="s">
        <v>29</v>
      </c>
      <c r="G249" s="2">
        <v>45461</v>
      </c>
      <c r="H249" s="2">
        <v>45281</v>
      </c>
      <c r="I249" s="1" t="s">
        <v>76</v>
      </c>
      <c r="J249" s="1" t="s">
        <v>21</v>
      </c>
      <c r="K249" s="1" t="s">
        <v>22</v>
      </c>
      <c r="L249" s="1" t="s">
        <v>119</v>
      </c>
      <c r="M249" s="1" t="s">
        <v>44</v>
      </c>
      <c r="N249" s="1" t="s">
        <v>25</v>
      </c>
      <c r="O249" s="8">
        <v>5000</v>
      </c>
    </row>
    <row r="250" spans="1:15" ht="15.7" customHeight="1" x14ac:dyDescent="0.3">
      <c r="A250" s="1" t="s">
        <v>532</v>
      </c>
      <c r="B250" s="1" t="s">
        <v>533</v>
      </c>
      <c r="C250" s="1" t="s">
        <v>41</v>
      </c>
      <c r="D250" s="1" t="s">
        <v>18</v>
      </c>
      <c r="E250" s="1" t="s">
        <v>855</v>
      </c>
      <c r="F250" s="1" t="s">
        <v>29</v>
      </c>
      <c r="G250" s="2">
        <v>45461</v>
      </c>
      <c r="H250" s="2">
        <v>45281</v>
      </c>
      <c r="I250" s="1" t="s">
        <v>20</v>
      </c>
      <c r="J250" s="1" t="s">
        <v>21</v>
      </c>
      <c r="K250" s="1" t="s">
        <v>110</v>
      </c>
      <c r="L250" s="1" t="s">
        <v>91</v>
      </c>
      <c r="M250" s="1" t="s">
        <v>44</v>
      </c>
      <c r="N250" s="1" t="s">
        <v>25</v>
      </c>
      <c r="O250" s="8">
        <v>5000</v>
      </c>
    </row>
    <row r="251" spans="1:15" ht="15.7" customHeight="1" x14ac:dyDescent="0.3">
      <c r="A251" s="1" t="s">
        <v>534</v>
      </c>
      <c r="B251" s="1" t="s">
        <v>535</v>
      </c>
      <c r="C251" s="1" t="s">
        <v>41</v>
      </c>
      <c r="D251" s="1" t="s">
        <v>18</v>
      </c>
      <c r="E251" s="1" t="s">
        <v>855</v>
      </c>
      <c r="F251" s="1" t="s">
        <v>29</v>
      </c>
      <c r="G251" s="2">
        <v>45461</v>
      </c>
      <c r="H251" s="2">
        <v>45281</v>
      </c>
      <c r="I251" s="1" t="s">
        <v>20</v>
      </c>
      <c r="J251" s="1" t="s">
        <v>21</v>
      </c>
      <c r="K251" s="1" t="s">
        <v>22</v>
      </c>
      <c r="L251" s="1" t="s">
        <v>91</v>
      </c>
      <c r="M251" s="1" t="s">
        <v>44</v>
      </c>
      <c r="N251" s="1" t="s">
        <v>25</v>
      </c>
      <c r="O251" s="8">
        <v>5000</v>
      </c>
    </row>
    <row r="252" spans="1:15" ht="15.7" customHeight="1" x14ac:dyDescent="0.3">
      <c r="A252" s="1" t="s">
        <v>536</v>
      </c>
      <c r="B252" s="1" t="s">
        <v>537</v>
      </c>
      <c r="C252" s="1" t="s">
        <v>41</v>
      </c>
      <c r="D252" s="1" t="s">
        <v>18</v>
      </c>
      <c r="E252" s="1" t="s">
        <v>855</v>
      </c>
      <c r="F252" s="1" t="s">
        <v>29</v>
      </c>
      <c r="G252" s="2">
        <v>45463</v>
      </c>
      <c r="H252" s="2">
        <v>45283</v>
      </c>
      <c r="I252" s="1" t="s">
        <v>76</v>
      </c>
      <c r="J252" s="1" t="s">
        <v>21</v>
      </c>
      <c r="K252" s="1" t="s">
        <v>30</v>
      </c>
      <c r="L252" s="1" t="s">
        <v>119</v>
      </c>
      <c r="M252" s="1" t="s">
        <v>44</v>
      </c>
      <c r="N252" s="1" t="s">
        <v>25</v>
      </c>
      <c r="O252" s="8">
        <v>5000</v>
      </c>
    </row>
    <row r="253" spans="1:15" ht="15.7" customHeight="1" x14ac:dyDescent="0.3">
      <c r="A253" s="1" t="s">
        <v>538</v>
      </c>
      <c r="B253" s="1" t="s">
        <v>539</v>
      </c>
      <c r="C253" s="1" t="s">
        <v>41</v>
      </c>
      <c r="D253" s="1" t="s">
        <v>18</v>
      </c>
      <c r="E253" s="1" t="s">
        <v>855</v>
      </c>
      <c r="F253" s="1" t="s">
        <v>29</v>
      </c>
      <c r="G253" s="2">
        <v>45463</v>
      </c>
      <c r="H253" s="2">
        <v>45283</v>
      </c>
      <c r="I253" s="1" t="s">
        <v>76</v>
      </c>
      <c r="J253" s="1" t="s">
        <v>35</v>
      </c>
      <c r="K253" s="1" t="s">
        <v>54</v>
      </c>
      <c r="L253" s="1" t="s">
        <v>23</v>
      </c>
      <c r="M253" s="1" t="s">
        <v>24</v>
      </c>
      <c r="N253" s="1" t="s">
        <v>25</v>
      </c>
      <c r="O253" s="8">
        <v>5000</v>
      </c>
    </row>
    <row r="254" spans="1:15" ht="15.7" customHeight="1" x14ac:dyDescent="0.3">
      <c r="A254" s="1" t="s">
        <v>540</v>
      </c>
      <c r="B254" s="1" t="s">
        <v>541</v>
      </c>
      <c r="C254" s="1" t="s">
        <v>34</v>
      </c>
      <c r="D254" s="1" t="s">
        <v>18</v>
      </c>
      <c r="E254" s="1" t="s">
        <v>855</v>
      </c>
      <c r="F254" s="1" t="s">
        <v>29</v>
      </c>
      <c r="G254" s="2">
        <v>45463</v>
      </c>
      <c r="H254" s="2">
        <v>45283</v>
      </c>
      <c r="I254" s="1" t="s">
        <v>20</v>
      </c>
      <c r="J254" s="1" t="s">
        <v>21</v>
      </c>
      <c r="K254" s="1" t="s">
        <v>30</v>
      </c>
      <c r="L254" s="1" t="s">
        <v>23</v>
      </c>
      <c r="M254" s="1" t="s">
        <v>24</v>
      </c>
      <c r="N254" s="1" t="s">
        <v>25</v>
      </c>
      <c r="O254" s="8">
        <v>5000</v>
      </c>
    </row>
    <row r="255" spans="1:15" ht="15.7" customHeight="1" x14ac:dyDescent="0.3">
      <c r="A255" s="1" t="s">
        <v>542</v>
      </c>
      <c r="B255" s="1" t="s">
        <v>543</v>
      </c>
      <c r="C255" s="1" t="s">
        <v>41</v>
      </c>
      <c r="D255" s="1" t="s">
        <v>18</v>
      </c>
      <c r="E255" s="1" t="s">
        <v>855</v>
      </c>
      <c r="F255" s="1" t="s">
        <v>29</v>
      </c>
      <c r="G255" s="2">
        <v>45463</v>
      </c>
      <c r="H255" s="2">
        <v>45283</v>
      </c>
      <c r="I255" s="1" t="s">
        <v>20</v>
      </c>
      <c r="J255" s="1" t="s">
        <v>35</v>
      </c>
      <c r="K255" s="1" t="s">
        <v>30</v>
      </c>
      <c r="L255" s="1" t="s">
        <v>23</v>
      </c>
      <c r="M255" s="1" t="s">
        <v>24</v>
      </c>
      <c r="N255" s="1" t="s">
        <v>25</v>
      </c>
      <c r="O255" s="8">
        <v>5000</v>
      </c>
    </row>
    <row r="256" spans="1:15" ht="15.7" customHeight="1" x14ac:dyDescent="0.3">
      <c r="A256" s="1" t="s">
        <v>544</v>
      </c>
      <c r="B256" s="1" t="s">
        <v>545</v>
      </c>
      <c r="C256" s="1" t="s">
        <v>17</v>
      </c>
      <c r="D256" s="1" t="s">
        <v>18</v>
      </c>
      <c r="E256" s="1" t="s">
        <v>855</v>
      </c>
      <c r="F256" s="1" t="s">
        <v>29</v>
      </c>
      <c r="G256" s="2">
        <v>45463</v>
      </c>
      <c r="H256" s="2">
        <v>45283</v>
      </c>
      <c r="I256" s="1" t="s">
        <v>20</v>
      </c>
      <c r="J256" s="1" t="s">
        <v>21</v>
      </c>
      <c r="K256" s="1" t="s">
        <v>36</v>
      </c>
      <c r="L256" s="1" t="s">
        <v>167</v>
      </c>
      <c r="M256" s="1" t="s">
        <v>857</v>
      </c>
      <c r="N256" s="1" t="s">
        <v>25</v>
      </c>
      <c r="O256" s="8">
        <v>5000</v>
      </c>
    </row>
    <row r="257" spans="1:15" ht="15.7" customHeight="1" x14ac:dyDescent="0.3">
      <c r="A257" s="1" t="s">
        <v>546</v>
      </c>
      <c r="B257" s="1" t="s">
        <v>547</v>
      </c>
      <c r="C257" s="1" t="s">
        <v>41</v>
      </c>
      <c r="D257" s="1" t="s">
        <v>196</v>
      </c>
      <c r="E257" s="1" t="s">
        <v>855</v>
      </c>
      <c r="F257" s="1" t="s">
        <v>29</v>
      </c>
      <c r="G257" s="2">
        <v>45463</v>
      </c>
      <c r="H257" s="2">
        <v>45283</v>
      </c>
      <c r="I257" s="1" t="s">
        <v>20</v>
      </c>
      <c r="J257" s="1" t="s">
        <v>35</v>
      </c>
      <c r="K257" s="1" t="s">
        <v>36</v>
      </c>
      <c r="L257" s="1" t="s">
        <v>23</v>
      </c>
      <c r="M257" s="1" t="s">
        <v>24</v>
      </c>
      <c r="N257" s="1" t="s">
        <v>25</v>
      </c>
      <c r="O257" s="8">
        <v>5000</v>
      </c>
    </row>
    <row r="258" spans="1:15" ht="15.7" customHeight="1" x14ac:dyDescent="0.3">
      <c r="A258" s="1" t="s">
        <v>548</v>
      </c>
      <c r="B258" s="1" t="s">
        <v>549</v>
      </c>
      <c r="C258" s="1" t="s">
        <v>199</v>
      </c>
      <c r="D258" s="1" t="s">
        <v>196</v>
      </c>
      <c r="E258" s="1" t="s">
        <v>855</v>
      </c>
      <c r="F258" s="1" t="s">
        <v>29</v>
      </c>
      <c r="G258" s="2">
        <v>45463</v>
      </c>
      <c r="H258" s="2">
        <v>45283</v>
      </c>
      <c r="I258" s="1" t="s">
        <v>20</v>
      </c>
      <c r="J258" s="1" t="s">
        <v>21</v>
      </c>
      <c r="K258" s="1" t="s">
        <v>36</v>
      </c>
      <c r="L258" s="1" t="s">
        <v>23</v>
      </c>
      <c r="M258" s="1" t="s">
        <v>24</v>
      </c>
      <c r="N258" s="1" t="s">
        <v>25</v>
      </c>
      <c r="O258" s="8">
        <v>5000</v>
      </c>
    </row>
    <row r="259" spans="1:15" ht="15.7" customHeight="1" x14ac:dyDescent="0.3">
      <c r="A259" s="1" t="s">
        <v>550</v>
      </c>
      <c r="B259" s="1" t="s">
        <v>551</v>
      </c>
      <c r="C259" s="1" t="s">
        <v>41</v>
      </c>
      <c r="D259" s="1" t="s">
        <v>18</v>
      </c>
      <c r="E259" s="1" t="s">
        <v>855</v>
      </c>
      <c r="F259" s="1" t="s">
        <v>29</v>
      </c>
      <c r="G259" s="2">
        <v>45463</v>
      </c>
      <c r="H259" s="2">
        <v>45283</v>
      </c>
      <c r="I259" s="1" t="s">
        <v>20</v>
      </c>
      <c r="J259" s="1" t="s">
        <v>21</v>
      </c>
      <c r="K259" s="1" t="s">
        <v>36</v>
      </c>
      <c r="L259" s="1" t="s">
        <v>214</v>
      </c>
      <c r="M259" s="1" t="s">
        <v>24</v>
      </c>
      <c r="N259" s="1" t="s">
        <v>25</v>
      </c>
      <c r="O259" s="8">
        <v>5000</v>
      </c>
    </row>
    <row r="260" spans="1:15" ht="15.7" customHeight="1" x14ac:dyDescent="0.3">
      <c r="A260" s="1" t="s">
        <v>552</v>
      </c>
      <c r="B260" s="1" t="s">
        <v>553</v>
      </c>
      <c r="C260" s="1" t="s">
        <v>41</v>
      </c>
      <c r="D260" s="1" t="s">
        <v>18</v>
      </c>
      <c r="E260" s="1" t="s">
        <v>855</v>
      </c>
      <c r="F260" s="1" t="s">
        <v>29</v>
      </c>
      <c r="G260" s="2">
        <v>45463</v>
      </c>
      <c r="H260" s="2">
        <v>45283</v>
      </c>
      <c r="I260" s="1" t="s">
        <v>20</v>
      </c>
      <c r="J260" s="1" t="s">
        <v>21</v>
      </c>
      <c r="K260" s="1" t="s">
        <v>22</v>
      </c>
      <c r="L260" s="1" t="s">
        <v>23</v>
      </c>
      <c r="M260" s="1" t="s">
        <v>24</v>
      </c>
      <c r="N260" s="1" t="s">
        <v>25</v>
      </c>
      <c r="O260" s="8">
        <v>5000</v>
      </c>
    </row>
    <row r="261" spans="1:15" ht="15.7" customHeight="1" x14ac:dyDescent="0.3">
      <c r="A261" s="1" t="s">
        <v>554</v>
      </c>
      <c r="B261" s="1" t="s">
        <v>555</v>
      </c>
      <c r="C261" s="1" t="s">
        <v>34</v>
      </c>
      <c r="D261" s="1" t="s">
        <v>18</v>
      </c>
      <c r="E261" s="1" t="s">
        <v>855</v>
      </c>
      <c r="F261" s="1" t="s">
        <v>29</v>
      </c>
      <c r="G261" s="2">
        <v>45463</v>
      </c>
      <c r="H261" s="2">
        <v>45283</v>
      </c>
      <c r="I261" s="1" t="s">
        <v>20</v>
      </c>
      <c r="J261" s="1" t="s">
        <v>21</v>
      </c>
      <c r="K261" s="1" t="s">
        <v>22</v>
      </c>
      <c r="L261" s="1" t="s">
        <v>65</v>
      </c>
      <c r="M261" s="1" t="s">
        <v>277</v>
      </c>
      <c r="N261" s="1" t="s">
        <v>25</v>
      </c>
      <c r="O261" s="8">
        <v>5000</v>
      </c>
    </row>
    <row r="262" spans="1:15" ht="15.7" customHeight="1" x14ac:dyDescent="0.3">
      <c r="A262" s="1" t="s">
        <v>556</v>
      </c>
      <c r="B262" s="1" t="s">
        <v>557</v>
      </c>
      <c r="C262" s="1" t="s">
        <v>34</v>
      </c>
      <c r="D262" s="1" t="s">
        <v>18</v>
      </c>
      <c r="E262" s="1" t="s">
        <v>855</v>
      </c>
      <c r="F262" s="1" t="s">
        <v>29</v>
      </c>
      <c r="G262" s="2">
        <v>45463</v>
      </c>
      <c r="H262" s="2">
        <v>45283</v>
      </c>
      <c r="I262" s="1" t="s">
        <v>20</v>
      </c>
      <c r="J262" s="1" t="s">
        <v>21</v>
      </c>
      <c r="K262" s="1" t="s">
        <v>54</v>
      </c>
      <c r="L262" s="1" t="s">
        <v>23</v>
      </c>
      <c r="M262" s="1" t="s">
        <v>24</v>
      </c>
      <c r="N262" s="1" t="s">
        <v>25</v>
      </c>
      <c r="O262" s="8">
        <v>5000</v>
      </c>
    </row>
    <row r="263" spans="1:15" ht="15.7" customHeight="1" x14ac:dyDescent="0.3">
      <c r="A263" s="1" t="s">
        <v>558</v>
      </c>
      <c r="B263" s="1" t="s">
        <v>559</v>
      </c>
      <c r="C263" s="1" t="s">
        <v>41</v>
      </c>
      <c r="D263" s="1" t="s">
        <v>18</v>
      </c>
      <c r="E263" s="1" t="s">
        <v>855</v>
      </c>
      <c r="F263" s="1" t="s">
        <v>29</v>
      </c>
      <c r="G263" s="2">
        <v>45464</v>
      </c>
      <c r="H263" s="2">
        <v>45284</v>
      </c>
      <c r="I263" s="1" t="s">
        <v>76</v>
      </c>
      <c r="J263" s="1" t="s">
        <v>35</v>
      </c>
      <c r="K263" s="1" t="s">
        <v>22</v>
      </c>
      <c r="L263" s="1" t="s">
        <v>91</v>
      </c>
      <c r="M263" s="1" t="s">
        <v>44</v>
      </c>
      <c r="N263" s="1" t="s">
        <v>25</v>
      </c>
      <c r="O263" s="8">
        <v>27000</v>
      </c>
    </row>
    <row r="264" spans="1:15" ht="15.7" customHeight="1" x14ac:dyDescent="0.3">
      <c r="A264" s="1" t="s">
        <v>560</v>
      </c>
      <c r="B264" s="1" t="s">
        <v>561</v>
      </c>
      <c r="C264" s="1" t="s">
        <v>34</v>
      </c>
      <c r="D264" s="1" t="s">
        <v>18</v>
      </c>
      <c r="E264" s="1" t="s">
        <v>855</v>
      </c>
      <c r="F264" s="1" t="s">
        <v>29</v>
      </c>
      <c r="G264" s="2">
        <v>45464</v>
      </c>
      <c r="H264" s="2">
        <v>45284</v>
      </c>
      <c r="I264" s="1" t="s">
        <v>20</v>
      </c>
      <c r="J264" s="1" t="s">
        <v>21</v>
      </c>
      <c r="K264" s="1" t="s">
        <v>36</v>
      </c>
      <c r="L264" s="1" t="s">
        <v>219</v>
      </c>
      <c r="M264" s="1" t="s">
        <v>44</v>
      </c>
      <c r="N264" s="1" t="s">
        <v>25</v>
      </c>
      <c r="O264" s="8">
        <v>27000</v>
      </c>
    </row>
    <row r="265" spans="1:15" ht="15.7" customHeight="1" x14ac:dyDescent="0.3">
      <c r="A265" s="1" t="s">
        <v>562</v>
      </c>
      <c r="B265" s="1" t="s">
        <v>563</v>
      </c>
      <c r="C265" s="1" t="s">
        <v>199</v>
      </c>
      <c r="D265" s="1" t="s">
        <v>18</v>
      </c>
      <c r="E265" s="1" t="s">
        <v>855</v>
      </c>
      <c r="F265" s="1" t="s">
        <v>29</v>
      </c>
      <c r="G265" s="2">
        <v>45464</v>
      </c>
      <c r="H265" s="2">
        <v>45284</v>
      </c>
      <c r="I265" s="1" t="s">
        <v>20</v>
      </c>
      <c r="J265" s="1" t="s">
        <v>21</v>
      </c>
      <c r="K265" s="1" t="s">
        <v>22</v>
      </c>
      <c r="L265" s="1" t="s">
        <v>23</v>
      </c>
      <c r="M265" s="1" t="s">
        <v>24</v>
      </c>
      <c r="N265" s="1" t="s">
        <v>25</v>
      </c>
      <c r="O265" s="8">
        <v>27000</v>
      </c>
    </row>
    <row r="266" spans="1:15" ht="15.7" customHeight="1" x14ac:dyDescent="0.3">
      <c r="A266" s="1" t="s">
        <v>564</v>
      </c>
      <c r="B266" s="1" t="s">
        <v>565</v>
      </c>
      <c r="C266" s="1" t="s">
        <v>41</v>
      </c>
      <c r="D266" s="1" t="s">
        <v>18</v>
      </c>
      <c r="E266" s="1" t="s">
        <v>855</v>
      </c>
      <c r="F266" s="1" t="s">
        <v>29</v>
      </c>
      <c r="G266" s="2">
        <v>45464</v>
      </c>
      <c r="H266" s="2">
        <v>45284</v>
      </c>
      <c r="I266" s="1" t="s">
        <v>20</v>
      </c>
      <c r="J266" s="1" t="s">
        <v>21</v>
      </c>
      <c r="K266" s="1" t="s">
        <v>30</v>
      </c>
      <c r="L266" s="1" t="s">
        <v>91</v>
      </c>
      <c r="M266" s="1" t="s">
        <v>44</v>
      </c>
      <c r="N266" s="1" t="s">
        <v>25</v>
      </c>
      <c r="O266" s="8">
        <v>27000</v>
      </c>
    </row>
    <row r="267" spans="1:15" ht="15.7" customHeight="1" x14ac:dyDescent="0.3">
      <c r="A267" s="1" t="s">
        <v>566</v>
      </c>
      <c r="B267" s="1" t="s">
        <v>567</v>
      </c>
      <c r="C267" s="1" t="s">
        <v>41</v>
      </c>
      <c r="D267" s="1" t="s">
        <v>18</v>
      </c>
      <c r="E267" s="1" t="s">
        <v>855</v>
      </c>
      <c r="F267" s="1" t="s">
        <v>29</v>
      </c>
      <c r="G267" s="2">
        <v>45464</v>
      </c>
      <c r="H267" s="2">
        <v>45284</v>
      </c>
      <c r="I267" s="1" t="s">
        <v>20</v>
      </c>
      <c r="J267" s="1" t="s">
        <v>35</v>
      </c>
      <c r="K267" s="1" t="s">
        <v>36</v>
      </c>
      <c r="L267" s="1" t="s">
        <v>119</v>
      </c>
      <c r="M267" s="1" t="s">
        <v>44</v>
      </c>
      <c r="N267" s="1" t="s">
        <v>25</v>
      </c>
      <c r="O267" s="8">
        <v>27000</v>
      </c>
    </row>
    <row r="268" spans="1:15" ht="15.7" customHeight="1" x14ac:dyDescent="0.3">
      <c r="A268" s="1" t="s">
        <v>568</v>
      </c>
      <c r="B268" s="1" t="s">
        <v>569</v>
      </c>
      <c r="C268" s="1" t="s">
        <v>570</v>
      </c>
      <c r="D268" s="1" t="s">
        <v>18</v>
      </c>
      <c r="E268" s="1" t="s">
        <v>855</v>
      </c>
      <c r="F268" s="1" t="s">
        <v>29</v>
      </c>
      <c r="G268" s="2">
        <v>45466</v>
      </c>
      <c r="H268" s="2">
        <v>45286</v>
      </c>
      <c r="I268" s="1" t="s">
        <v>20</v>
      </c>
      <c r="J268" s="1" t="s">
        <v>21</v>
      </c>
      <c r="K268" s="1" t="s">
        <v>22</v>
      </c>
      <c r="L268" s="1" t="s">
        <v>571</v>
      </c>
      <c r="M268" s="1" t="s">
        <v>44</v>
      </c>
      <c r="N268" s="1" t="s">
        <v>25</v>
      </c>
      <c r="O268" s="8">
        <v>27000</v>
      </c>
    </row>
    <row r="269" spans="1:15" ht="15.7" customHeight="1" x14ac:dyDescent="0.3">
      <c r="A269" s="1" t="s">
        <v>572</v>
      </c>
      <c r="B269" s="1" t="s">
        <v>573</v>
      </c>
      <c r="C269" s="1" t="s">
        <v>17</v>
      </c>
      <c r="D269" s="1" t="s">
        <v>18</v>
      </c>
      <c r="E269" s="1" t="s">
        <v>855</v>
      </c>
      <c r="F269" s="1" t="s">
        <v>29</v>
      </c>
      <c r="G269" s="2">
        <v>45466</v>
      </c>
      <c r="H269" s="2">
        <v>45286</v>
      </c>
      <c r="I269" s="1" t="s">
        <v>20</v>
      </c>
      <c r="J269" s="1" t="s">
        <v>21</v>
      </c>
      <c r="K269" s="1" t="s">
        <v>36</v>
      </c>
      <c r="L269" s="1" t="s">
        <v>23</v>
      </c>
      <c r="M269" s="1" t="s">
        <v>24</v>
      </c>
      <c r="N269" s="1" t="s">
        <v>25</v>
      </c>
      <c r="O269" s="8">
        <v>27000</v>
      </c>
    </row>
    <row r="270" spans="1:15" ht="15.7" customHeight="1" x14ac:dyDescent="0.3">
      <c r="A270" s="1" t="s">
        <v>574</v>
      </c>
      <c r="B270" s="1" t="s">
        <v>575</v>
      </c>
      <c r="C270" s="1" t="s">
        <v>17</v>
      </c>
      <c r="D270" s="1" t="s">
        <v>18</v>
      </c>
      <c r="E270" s="1" t="s">
        <v>855</v>
      </c>
      <c r="F270" s="1" t="s">
        <v>29</v>
      </c>
      <c r="G270" s="2">
        <v>45466</v>
      </c>
      <c r="H270" s="2">
        <v>45286</v>
      </c>
      <c r="I270" s="1" t="s">
        <v>20</v>
      </c>
      <c r="J270" s="1" t="s">
        <v>21</v>
      </c>
      <c r="K270" s="1" t="s">
        <v>30</v>
      </c>
      <c r="L270" s="1" t="s">
        <v>23</v>
      </c>
      <c r="M270" s="1" t="s">
        <v>24</v>
      </c>
      <c r="N270" s="1" t="s">
        <v>25</v>
      </c>
      <c r="O270" s="8">
        <v>27000</v>
      </c>
    </row>
    <row r="271" spans="1:15" ht="15.7" customHeight="1" x14ac:dyDescent="0.3">
      <c r="A271" s="1" t="s">
        <v>576</v>
      </c>
      <c r="B271" s="1" t="s">
        <v>577</v>
      </c>
      <c r="C271" s="1" t="s">
        <v>34</v>
      </c>
      <c r="D271" s="1" t="s">
        <v>193</v>
      </c>
      <c r="E271" s="1" t="s">
        <v>855</v>
      </c>
      <c r="F271" s="1" t="s">
        <v>29</v>
      </c>
      <c r="G271" s="2">
        <v>45466</v>
      </c>
      <c r="H271" s="2">
        <v>45286</v>
      </c>
      <c r="I271" s="1" t="s">
        <v>20</v>
      </c>
      <c r="J271" s="1" t="s">
        <v>21</v>
      </c>
      <c r="K271" s="1" t="s">
        <v>30</v>
      </c>
      <c r="L271" s="1" t="s">
        <v>23</v>
      </c>
      <c r="M271" s="1" t="s">
        <v>24</v>
      </c>
      <c r="N271" s="1" t="s">
        <v>25</v>
      </c>
      <c r="O271" s="8">
        <v>27000</v>
      </c>
    </row>
    <row r="272" spans="1:15" ht="15.7" customHeight="1" x14ac:dyDescent="0.3">
      <c r="A272" s="1" t="s">
        <v>578</v>
      </c>
      <c r="B272" s="1" t="s">
        <v>579</v>
      </c>
      <c r="C272" s="1" t="s">
        <v>41</v>
      </c>
      <c r="D272" s="1" t="s">
        <v>18</v>
      </c>
      <c r="E272" s="1" t="s">
        <v>855</v>
      </c>
      <c r="F272" s="1" t="s">
        <v>29</v>
      </c>
      <c r="G272" s="2">
        <v>45466</v>
      </c>
      <c r="H272" s="2">
        <v>45286</v>
      </c>
      <c r="I272" s="1" t="s">
        <v>20</v>
      </c>
      <c r="J272" s="1" t="s">
        <v>21</v>
      </c>
      <c r="K272" s="1" t="s">
        <v>22</v>
      </c>
      <c r="L272" s="1" t="s">
        <v>23</v>
      </c>
      <c r="M272" s="1" t="s">
        <v>24</v>
      </c>
      <c r="N272" s="1" t="s">
        <v>25</v>
      </c>
      <c r="O272" s="8">
        <v>27000</v>
      </c>
    </row>
    <row r="273" spans="1:15" ht="15.7" customHeight="1" x14ac:dyDescent="0.3">
      <c r="A273" s="1" t="s">
        <v>580</v>
      </c>
      <c r="B273" s="1" t="s">
        <v>187</v>
      </c>
      <c r="C273" s="1" t="s">
        <v>34</v>
      </c>
      <c r="D273" s="1" t="s">
        <v>196</v>
      </c>
      <c r="E273" s="1" t="s">
        <v>855</v>
      </c>
      <c r="F273" s="1" t="s">
        <v>29</v>
      </c>
      <c r="G273" s="2">
        <v>45466</v>
      </c>
      <c r="H273" s="2">
        <v>45286</v>
      </c>
      <c r="I273" s="1" t="s">
        <v>20</v>
      </c>
      <c r="J273" s="1" t="s">
        <v>21</v>
      </c>
      <c r="K273" s="1" t="s">
        <v>36</v>
      </c>
      <c r="L273" s="1" t="s">
        <v>23</v>
      </c>
      <c r="M273" s="1" t="s">
        <v>24</v>
      </c>
      <c r="N273" s="1" t="s">
        <v>25</v>
      </c>
      <c r="O273" s="8">
        <v>27000</v>
      </c>
    </row>
    <row r="274" spans="1:15" ht="15.7" customHeight="1" x14ac:dyDescent="0.3">
      <c r="A274" s="1" t="s">
        <v>581</v>
      </c>
      <c r="B274" s="1" t="s">
        <v>582</v>
      </c>
      <c r="C274" s="1" t="s">
        <v>34</v>
      </c>
      <c r="D274" s="1" t="s">
        <v>18</v>
      </c>
      <c r="E274" s="1" t="s">
        <v>855</v>
      </c>
      <c r="F274" s="1" t="s">
        <v>29</v>
      </c>
      <c r="G274" s="2">
        <v>45466</v>
      </c>
      <c r="H274" s="2">
        <v>45286</v>
      </c>
      <c r="I274" s="1" t="s">
        <v>76</v>
      </c>
      <c r="J274" s="1" t="s">
        <v>21</v>
      </c>
      <c r="K274" s="1" t="s">
        <v>22</v>
      </c>
      <c r="L274" s="1" t="s">
        <v>23</v>
      </c>
      <c r="M274" s="1" t="s">
        <v>24</v>
      </c>
      <c r="N274" s="1" t="s">
        <v>25</v>
      </c>
      <c r="O274" s="8">
        <v>27000</v>
      </c>
    </row>
    <row r="275" spans="1:15" ht="15.7" customHeight="1" x14ac:dyDescent="0.3">
      <c r="A275" s="1" t="s">
        <v>583</v>
      </c>
      <c r="B275" s="1" t="s">
        <v>584</v>
      </c>
      <c r="C275" s="1" t="s">
        <v>17</v>
      </c>
      <c r="D275" s="1" t="s">
        <v>18</v>
      </c>
      <c r="E275" s="1" t="s">
        <v>855</v>
      </c>
      <c r="F275" s="1" t="s">
        <v>29</v>
      </c>
      <c r="G275" s="2">
        <v>45466</v>
      </c>
      <c r="H275" s="2">
        <v>45286</v>
      </c>
      <c r="I275" s="1" t="s">
        <v>76</v>
      </c>
      <c r="J275" s="1" t="s">
        <v>21</v>
      </c>
      <c r="K275" s="1" t="s">
        <v>22</v>
      </c>
      <c r="L275" s="1" t="s">
        <v>23</v>
      </c>
      <c r="M275" s="1" t="s">
        <v>24</v>
      </c>
      <c r="N275" s="1" t="s">
        <v>25</v>
      </c>
      <c r="O275" s="8">
        <v>27000</v>
      </c>
    </row>
    <row r="276" spans="1:15" ht="15.7" customHeight="1" x14ac:dyDescent="0.3">
      <c r="A276" s="1" t="s">
        <v>585</v>
      </c>
      <c r="B276" s="1" t="s">
        <v>586</v>
      </c>
      <c r="C276" s="1" t="s">
        <v>41</v>
      </c>
      <c r="D276" s="1" t="s">
        <v>18</v>
      </c>
      <c r="E276" s="1" t="s">
        <v>855</v>
      </c>
      <c r="F276" s="1" t="s">
        <v>29</v>
      </c>
      <c r="G276" s="2">
        <v>45466</v>
      </c>
      <c r="H276" s="2">
        <v>45286</v>
      </c>
      <c r="I276" s="1" t="s">
        <v>76</v>
      </c>
      <c r="J276" s="1" t="s">
        <v>21</v>
      </c>
      <c r="K276" s="1" t="s">
        <v>22</v>
      </c>
      <c r="L276" s="1" t="s">
        <v>23</v>
      </c>
      <c r="M276" s="1" t="s">
        <v>24</v>
      </c>
      <c r="N276" s="1" t="s">
        <v>25</v>
      </c>
      <c r="O276" s="8">
        <v>27000</v>
      </c>
    </row>
    <row r="277" spans="1:15" ht="15.7" customHeight="1" x14ac:dyDescent="0.3">
      <c r="A277" s="1" t="s">
        <v>587</v>
      </c>
      <c r="B277" s="1" t="s">
        <v>588</v>
      </c>
      <c r="C277" s="1" t="s">
        <v>41</v>
      </c>
      <c r="D277" s="1" t="s">
        <v>18</v>
      </c>
      <c r="E277" s="1" t="s">
        <v>855</v>
      </c>
      <c r="F277" s="1" t="s">
        <v>29</v>
      </c>
      <c r="G277" s="2">
        <v>45466</v>
      </c>
      <c r="H277" s="2">
        <v>45286</v>
      </c>
      <c r="I277" s="1" t="s">
        <v>76</v>
      </c>
      <c r="J277" s="1" t="s">
        <v>21</v>
      </c>
      <c r="K277" s="1" t="s">
        <v>36</v>
      </c>
      <c r="L277" s="1" t="s">
        <v>23</v>
      </c>
      <c r="M277" s="1" t="s">
        <v>24</v>
      </c>
      <c r="N277" s="1" t="s">
        <v>25</v>
      </c>
      <c r="O277" s="8">
        <v>27000</v>
      </c>
    </row>
    <row r="278" spans="1:15" ht="15.7" customHeight="1" x14ac:dyDescent="0.3">
      <c r="A278" s="1" t="s">
        <v>589</v>
      </c>
      <c r="B278" s="1" t="s">
        <v>590</v>
      </c>
      <c r="C278" s="1" t="s">
        <v>34</v>
      </c>
      <c r="D278" s="1" t="s">
        <v>18</v>
      </c>
      <c r="E278" s="1" t="s">
        <v>855</v>
      </c>
      <c r="F278" s="1" t="s">
        <v>29</v>
      </c>
      <c r="G278" s="2">
        <v>45466</v>
      </c>
      <c r="H278" s="2">
        <v>45286</v>
      </c>
      <c r="I278" s="1" t="s">
        <v>76</v>
      </c>
      <c r="J278" s="1" t="s">
        <v>21</v>
      </c>
      <c r="K278" s="1" t="s">
        <v>30</v>
      </c>
      <c r="L278" s="1" t="s">
        <v>23</v>
      </c>
      <c r="M278" s="1" t="s">
        <v>24</v>
      </c>
      <c r="N278" s="1" t="s">
        <v>25</v>
      </c>
      <c r="O278" s="8">
        <v>27000</v>
      </c>
    </row>
    <row r="279" spans="1:15" ht="15.7" customHeight="1" x14ac:dyDescent="0.3">
      <c r="A279" s="1" t="s">
        <v>591</v>
      </c>
      <c r="B279" s="1" t="s">
        <v>592</v>
      </c>
      <c r="C279" s="1" t="s">
        <v>34</v>
      </c>
      <c r="D279" s="1" t="s">
        <v>18</v>
      </c>
      <c r="E279" s="1" t="s">
        <v>855</v>
      </c>
      <c r="F279" s="1" t="s">
        <v>29</v>
      </c>
      <c r="G279" s="2">
        <v>45466</v>
      </c>
      <c r="H279" s="2">
        <v>45286</v>
      </c>
      <c r="I279" s="1" t="s">
        <v>76</v>
      </c>
      <c r="J279" s="1" t="s">
        <v>21</v>
      </c>
      <c r="K279" s="1" t="s">
        <v>22</v>
      </c>
      <c r="L279" s="1" t="s">
        <v>23</v>
      </c>
      <c r="M279" s="1" t="s">
        <v>24</v>
      </c>
      <c r="N279" s="1" t="s">
        <v>25</v>
      </c>
      <c r="O279" s="8">
        <v>27000</v>
      </c>
    </row>
    <row r="280" spans="1:15" ht="15.7" customHeight="1" x14ac:dyDescent="0.3">
      <c r="A280" s="1" t="s">
        <v>593</v>
      </c>
      <c r="B280" s="1" t="s">
        <v>594</v>
      </c>
      <c r="C280" s="1" t="s">
        <v>28</v>
      </c>
      <c r="D280" s="1" t="s">
        <v>18</v>
      </c>
      <c r="E280" s="1" t="s">
        <v>855</v>
      </c>
      <c r="F280" s="1" t="s">
        <v>29</v>
      </c>
      <c r="G280" s="2">
        <v>45466</v>
      </c>
      <c r="H280" s="2">
        <v>45286</v>
      </c>
      <c r="I280" s="1" t="s">
        <v>76</v>
      </c>
      <c r="J280" s="1" t="s">
        <v>21</v>
      </c>
      <c r="K280" s="1" t="s">
        <v>136</v>
      </c>
      <c r="L280" s="1" t="s">
        <v>23</v>
      </c>
      <c r="M280" s="1" t="s">
        <v>24</v>
      </c>
      <c r="N280" s="1" t="s">
        <v>25</v>
      </c>
      <c r="O280" s="8">
        <v>27000</v>
      </c>
    </row>
    <row r="281" spans="1:15" ht="15.7" customHeight="1" x14ac:dyDescent="0.3">
      <c r="A281" s="1" t="s">
        <v>595</v>
      </c>
      <c r="B281" s="1" t="s">
        <v>596</v>
      </c>
      <c r="C281" s="1" t="s">
        <v>34</v>
      </c>
      <c r="D281" s="1" t="s">
        <v>18</v>
      </c>
      <c r="E281" s="1" t="s">
        <v>855</v>
      </c>
      <c r="F281" s="1" t="s">
        <v>29</v>
      </c>
      <c r="G281" s="2">
        <v>45466</v>
      </c>
      <c r="H281" s="2">
        <v>45286</v>
      </c>
      <c r="I281" s="1" t="s">
        <v>20</v>
      </c>
      <c r="J281" s="1" t="s">
        <v>21</v>
      </c>
      <c r="K281" s="1" t="s">
        <v>36</v>
      </c>
      <c r="L281" s="1" t="s">
        <v>23</v>
      </c>
      <c r="M281" s="1" t="s">
        <v>24</v>
      </c>
      <c r="N281" s="1" t="s">
        <v>25</v>
      </c>
      <c r="O281" s="8">
        <v>27000</v>
      </c>
    </row>
    <row r="282" spans="1:15" ht="15.7" customHeight="1" x14ac:dyDescent="0.3">
      <c r="A282" s="1" t="s">
        <v>597</v>
      </c>
      <c r="B282" s="1" t="s">
        <v>598</v>
      </c>
      <c r="C282" s="1" t="s">
        <v>41</v>
      </c>
      <c r="D282" s="1" t="s">
        <v>196</v>
      </c>
      <c r="E282" s="1" t="s">
        <v>855</v>
      </c>
      <c r="F282" s="1" t="s">
        <v>29</v>
      </c>
      <c r="G282" s="2">
        <v>45466</v>
      </c>
      <c r="H282" s="2">
        <v>45286</v>
      </c>
      <c r="I282" s="1" t="s">
        <v>76</v>
      </c>
      <c r="J282" s="1" t="s">
        <v>21</v>
      </c>
      <c r="K282" s="1" t="s">
        <v>36</v>
      </c>
      <c r="L282" s="1" t="s">
        <v>23</v>
      </c>
      <c r="M282" s="1" t="s">
        <v>24</v>
      </c>
      <c r="N282" s="1" t="s">
        <v>25</v>
      </c>
      <c r="O282" s="8">
        <v>27000</v>
      </c>
    </row>
    <row r="283" spans="1:15" ht="15.7" customHeight="1" x14ac:dyDescent="0.3">
      <c r="A283" s="1" t="s">
        <v>599</v>
      </c>
      <c r="B283" s="1" t="s">
        <v>307</v>
      </c>
      <c r="C283" s="1" t="s">
        <v>41</v>
      </c>
      <c r="D283" s="1" t="s">
        <v>18</v>
      </c>
      <c r="E283" s="1" t="s">
        <v>855</v>
      </c>
      <c r="F283" s="1" t="s">
        <v>29</v>
      </c>
      <c r="G283" s="2">
        <v>45466</v>
      </c>
      <c r="H283" s="2">
        <v>45286</v>
      </c>
      <c r="I283" s="1" t="s">
        <v>20</v>
      </c>
      <c r="J283" s="1" t="s">
        <v>21</v>
      </c>
      <c r="K283" s="1" t="s">
        <v>30</v>
      </c>
      <c r="L283" s="1" t="s">
        <v>91</v>
      </c>
      <c r="M283" s="1" t="s">
        <v>44</v>
      </c>
      <c r="N283" s="1" t="s">
        <v>25</v>
      </c>
      <c r="O283" s="8">
        <v>27000</v>
      </c>
    </row>
    <row r="284" spans="1:15" ht="15.7" customHeight="1" x14ac:dyDescent="0.3">
      <c r="A284" s="1" t="s">
        <v>600</v>
      </c>
      <c r="B284" s="1" t="s">
        <v>601</v>
      </c>
      <c r="C284" s="1" t="s">
        <v>34</v>
      </c>
      <c r="D284" s="1" t="s">
        <v>18</v>
      </c>
      <c r="E284" s="1" t="s">
        <v>855</v>
      </c>
      <c r="F284" s="1" t="s">
        <v>29</v>
      </c>
      <c r="G284" s="2">
        <v>45466</v>
      </c>
      <c r="H284" s="2">
        <v>45286</v>
      </c>
      <c r="I284" s="1" t="s">
        <v>20</v>
      </c>
      <c r="J284" s="1" t="s">
        <v>21</v>
      </c>
      <c r="K284" s="1" t="s">
        <v>22</v>
      </c>
      <c r="L284" s="1" t="s">
        <v>91</v>
      </c>
      <c r="M284" s="1" t="s">
        <v>44</v>
      </c>
      <c r="N284" s="1" t="s">
        <v>25</v>
      </c>
      <c r="O284" s="8">
        <v>27000</v>
      </c>
    </row>
    <row r="285" spans="1:15" ht="15.7" customHeight="1" x14ac:dyDescent="0.3">
      <c r="A285" s="1" t="s">
        <v>602</v>
      </c>
      <c r="B285" s="1" t="s">
        <v>603</v>
      </c>
      <c r="C285" s="1" t="s">
        <v>199</v>
      </c>
      <c r="D285" s="1" t="s">
        <v>18</v>
      </c>
      <c r="E285" s="1" t="s">
        <v>855</v>
      </c>
      <c r="F285" s="1" t="s">
        <v>29</v>
      </c>
      <c r="G285" s="2">
        <v>45467</v>
      </c>
      <c r="H285" s="2">
        <v>45287</v>
      </c>
      <c r="I285" s="1" t="s">
        <v>20</v>
      </c>
      <c r="J285" s="1" t="s">
        <v>21</v>
      </c>
      <c r="K285" s="1" t="s">
        <v>143</v>
      </c>
      <c r="L285" s="1" t="s">
        <v>23</v>
      </c>
      <c r="M285" s="1" t="s">
        <v>24</v>
      </c>
      <c r="N285" s="1" t="s">
        <v>25</v>
      </c>
      <c r="O285" s="8">
        <v>27000</v>
      </c>
    </row>
    <row r="286" spans="1:15" ht="15.7" customHeight="1" x14ac:dyDescent="0.3">
      <c r="A286" s="1" t="s">
        <v>604</v>
      </c>
      <c r="B286" s="1" t="s">
        <v>605</v>
      </c>
      <c r="C286" s="1" t="s">
        <v>17</v>
      </c>
      <c r="D286" s="1" t="s">
        <v>18</v>
      </c>
      <c r="E286" s="1" t="s">
        <v>855</v>
      </c>
      <c r="F286" s="1" t="s">
        <v>29</v>
      </c>
      <c r="G286" s="2">
        <v>45467</v>
      </c>
      <c r="H286" s="2">
        <v>45287</v>
      </c>
      <c r="I286" s="1" t="s">
        <v>20</v>
      </c>
      <c r="J286" s="1" t="s">
        <v>21</v>
      </c>
      <c r="K286" s="1" t="s">
        <v>110</v>
      </c>
      <c r="L286" s="1" t="s">
        <v>111</v>
      </c>
      <c r="M286" s="1" t="s">
        <v>44</v>
      </c>
      <c r="N286" s="1" t="s">
        <v>25</v>
      </c>
      <c r="O286" s="8">
        <v>27000</v>
      </c>
    </row>
    <row r="287" spans="1:15" ht="15.7" customHeight="1" x14ac:dyDescent="0.3">
      <c r="A287" s="1" t="s">
        <v>606</v>
      </c>
      <c r="B287" s="1" t="s">
        <v>607</v>
      </c>
      <c r="C287" s="1" t="s">
        <v>17</v>
      </c>
      <c r="D287" s="1" t="s">
        <v>18</v>
      </c>
      <c r="E287" s="1" t="s">
        <v>855</v>
      </c>
      <c r="F287" s="1" t="s">
        <v>29</v>
      </c>
      <c r="G287" s="2">
        <v>45467</v>
      </c>
      <c r="H287" s="2">
        <v>45287</v>
      </c>
      <c r="I287" s="1" t="s">
        <v>76</v>
      </c>
      <c r="J287" s="1" t="s">
        <v>21</v>
      </c>
      <c r="K287" s="1" t="s">
        <v>36</v>
      </c>
      <c r="L287" s="1" t="s">
        <v>214</v>
      </c>
      <c r="M287" s="1" t="s">
        <v>24</v>
      </c>
      <c r="N287" s="1" t="s">
        <v>25</v>
      </c>
      <c r="O287" s="8">
        <v>27000</v>
      </c>
    </row>
    <row r="288" spans="1:15" ht="15.7" customHeight="1" x14ac:dyDescent="0.3">
      <c r="A288" s="1" t="s">
        <v>608</v>
      </c>
      <c r="B288" s="1" t="s">
        <v>609</v>
      </c>
      <c r="C288" s="1" t="s">
        <v>34</v>
      </c>
      <c r="D288" s="1" t="s">
        <v>18</v>
      </c>
      <c r="E288" s="1" t="s">
        <v>855</v>
      </c>
      <c r="F288" s="1" t="s">
        <v>29</v>
      </c>
      <c r="G288" s="2">
        <v>45470</v>
      </c>
      <c r="H288" s="2">
        <v>45290</v>
      </c>
      <c r="I288" s="1" t="s">
        <v>76</v>
      </c>
      <c r="J288" s="1" t="s">
        <v>21</v>
      </c>
      <c r="K288" s="1" t="s">
        <v>30</v>
      </c>
      <c r="L288" s="1" t="s">
        <v>111</v>
      </c>
      <c r="M288" s="1" t="s">
        <v>44</v>
      </c>
      <c r="N288" s="1" t="s">
        <v>25</v>
      </c>
      <c r="O288" s="8">
        <v>30000</v>
      </c>
    </row>
    <row r="289" spans="1:15" ht="15.7" customHeight="1" x14ac:dyDescent="0.3">
      <c r="A289" s="1" t="s">
        <v>610</v>
      </c>
      <c r="B289" s="1" t="s">
        <v>611</v>
      </c>
      <c r="C289" s="1" t="s">
        <v>17</v>
      </c>
      <c r="D289" s="1" t="s">
        <v>18</v>
      </c>
      <c r="E289" s="1" t="s">
        <v>855</v>
      </c>
      <c r="F289" s="1" t="s">
        <v>29</v>
      </c>
      <c r="G289" s="2">
        <v>45470</v>
      </c>
      <c r="H289" s="2">
        <v>45290</v>
      </c>
      <c r="I289" s="1" t="s">
        <v>20</v>
      </c>
      <c r="J289" s="1" t="s">
        <v>21</v>
      </c>
      <c r="K289" s="1" t="s">
        <v>54</v>
      </c>
      <c r="L289" s="1" t="s">
        <v>91</v>
      </c>
      <c r="M289" s="1" t="s">
        <v>44</v>
      </c>
      <c r="N289" s="1" t="s">
        <v>25</v>
      </c>
      <c r="O289" s="8">
        <v>30000</v>
      </c>
    </row>
    <row r="290" spans="1:15" ht="15.7" customHeight="1" x14ac:dyDescent="0.3">
      <c r="A290" s="1" t="s">
        <v>612</v>
      </c>
      <c r="B290" s="1" t="s">
        <v>613</v>
      </c>
      <c r="C290" s="1" t="s">
        <v>41</v>
      </c>
      <c r="D290" s="1" t="s">
        <v>18</v>
      </c>
      <c r="E290" s="1" t="s">
        <v>855</v>
      </c>
      <c r="F290" s="1" t="s">
        <v>29</v>
      </c>
      <c r="G290" s="2">
        <v>45470</v>
      </c>
      <c r="H290" s="2">
        <v>45290</v>
      </c>
      <c r="I290" s="1" t="s">
        <v>20</v>
      </c>
      <c r="J290" s="1" t="s">
        <v>21</v>
      </c>
      <c r="K290" s="1" t="s">
        <v>54</v>
      </c>
      <c r="L290" s="1" t="s">
        <v>23</v>
      </c>
      <c r="M290" s="1" t="s">
        <v>24</v>
      </c>
      <c r="N290" s="1" t="s">
        <v>25</v>
      </c>
      <c r="O290" s="8">
        <v>30000</v>
      </c>
    </row>
    <row r="291" spans="1:15" ht="15.7" customHeight="1" x14ac:dyDescent="0.3">
      <c r="A291" s="1" t="s">
        <v>614</v>
      </c>
      <c r="B291" s="1" t="s">
        <v>615</v>
      </c>
      <c r="C291" s="1" t="s">
        <v>34</v>
      </c>
      <c r="D291" s="1" t="s">
        <v>18</v>
      </c>
      <c r="E291" s="1" t="s">
        <v>855</v>
      </c>
      <c r="F291" s="1" t="s">
        <v>29</v>
      </c>
      <c r="G291" s="2">
        <v>45472</v>
      </c>
      <c r="H291" s="2">
        <v>45292</v>
      </c>
      <c r="I291" s="1" t="s">
        <v>20</v>
      </c>
      <c r="J291" s="1" t="s">
        <v>21</v>
      </c>
      <c r="K291" s="1" t="s">
        <v>110</v>
      </c>
      <c r="L291" s="1" t="s">
        <v>91</v>
      </c>
      <c r="M291" s="1" t="s">
        <v>44</v>
      </c>
      <c r="N291" s="1" t="s">
        <v>25</v>
      </c>
      <c r="O291" s="8">
        <v>30000</v>
      </c>
    </row>
    <row r="292" spans="1:15" ht="15.7" customHeight="1" x14ac:dyDescent="0.3">
      <c r="A292" s="1" t="s">
        <v>616</v>
      </c>
      <c r="B292" s="1" t="s">
        <v>617</v>
      </c>
      <c r="C292" s="1" t="s">
        <v>17</v>
      </c>
      <c r="D292" s="1" t="s">
        <v>18</v>
      </c>
      <c r="E292" s="1" t="s">
        <v>855</v>
      </c>
      <c r="F292" s="1" t="s">
        <v>29</v>
      </c>
      <c r="G292" s="2">
        <v>45472</v>
      </c>
      <c r="H292" s="2">
        <v>45292</v>
      </c>
      <c r="I292" s="1" t="s">
        <v>20</v>
      </c>
      <c r="J292" s="1" t="s">
        <v>21</v>
      </c>
      <c r="K292" s="1" t="s">
        <v>36</v>
      </c>
      <c r="L292" s="1" t="s">
        <v>47</v>
      </c>
      <c r="M292" s="1" t="s">
        <v>857</v>
      </c>
      <c r="N292" s="1" t="s">
        <v>25</v>
      </c>
      <c r="O292" s="8">
        <v>30000</v>
      </c>
    </row>
    <row r="293" spans="1:15" ht="15.7" customHeight="1" x14ac:dyDescent="0.3">
      <c r="A293" s="1" t="s">
        <v>618</v>
      </c>
      <c r="B293" s="1" t="s">
        <v>619</v>
      </c>
      <c r="C293" s="1" t="s">
        <v>17</v>
      </c>
      <c r="D293" s="1" t="s">
        <v>18</v>
      </c>
      <c r="E293" s="1" t="s">
        <v>855</v>
      </c>
      <c r="F293" s="1" t="s">
        <v>29</v>
      </c>
      <c r="G293" s="2">
        <v>45472</v>
      </c>
      <c r="H293" s="2">
        <v>45292</v>
      </c>
      <c r="I293" s="1" t="s">
        <v>20</v>
      </c>
      <c r="J293" s="1" t="s">
        <v>21</v>
      </c>
      <c r="K293" s="1" t="s">
        <v>22</v>
      </c>
      <c r="L293" s="1" t="s">
        <v>23</v>
      </c>
      <c r="M293" s="1" t="s">
        <v>24</v>
      </c>
      <c r="N293" s="1" t="s">
        <v>25</v>
      </c>
      <c r="O293" s="8">
        <v>30000</v>
      </c>
    </row>
    <row r="294" spans="1:15" ht="15.7" customHeight="1" x14ac:dyDescent="0.3">
      <c r="A294" s="1" t="s">
        <v>620</v>
      </c>
      <c r="B294" s="1" t="s">
        <v>621</v>
      </c>
      <c r="C294" s="1" t="s">
        <v>34</v>
      </c>
      <c r="D294" s="1" t="s">
        <v>18</v>
      </c>
      <c r="E294" s="1" t="s">
        <v>855</v>
      </c>
      <c r="F294" s="1" t="s">
        <v>29</v>
      </c>
      <c r="G294" s="2">
        <v>45472</v>
      </c>
      <c r="H294" s="2">
        <v>45292</v>
      </c>
      <c r="I294" s="1" t="s">
        <v>20</v>
      </c>
      <c r="J294" s="1" t="s">
        <v>21</v>
      </c>
      <c r="K294" s="1" t="s">
        <v>36</v>
      </c>
      <c r="L294" s="1" t="s">
        <v>23</v>
      </c>
      <c r="M294" s="1" t="s">
        <v>24</v>
      </c>
      <c r="N294" s="1" t="s">
        <v>25</v>
      </c>
      <c r="O294" s="8">
        <v>30000</v>
      </c>
    </row>
    <row r="295" spans="1:15" ht="15.7" customHeight="1" x14ac:dyDescent="0.3">
      <c r="A295" s="1" t="s">
        <v>622</v>
      </c>
      <c r="B295" s="1" t="s">
        <v>623</v>
      </c>
      <c r="C295" s="1" t="s">
        <v>34</v>
      </c>
      <c r="D295" s="1" t="s">
        <v>18</v>
      </c>
      <c r="E295" s="1" t="s">
        <v>855</v>
      </c>
      <c r="F295" s="1" t="s">
        <v>29</v>
      </c>
      <c r="G295" s="2">
        <v>45472</v>
      </c>
      <c r="H295" s="2">
        <v>45292</v>
      </c>
      <c r="I295" s="1" t="s">
        <v>20</v>
      </c>
      <c r="J295" s="1" t="s">
        <v>35</v>
      </c>
      <c r="K295" s="1" t="s">
        <v>54</v>
      </c>
      <c r="L295" s="1" t="s">
        <v>23</v>
      </c>
      <c r="M295" s="1" t="s">
        <v>24</v>
      </c>
      <c r="N295" s="1" t="s">
        <v>25</v>
      </c>
      <c r="O295" s="8">
        <v>30000</v>
      </c>
    </row>
    <row r="296" spans="1:15" ht="15.7" customHeight="1" x14ac:dyDescent="0.3">
      <c r="A296" s="1" t="s">
        <v>624</v>
      </c>
      <c r="B296" s="1" t="s">
        <v>625</v>
      </c>
      <c r="C296" s="1" t="s">
        <v>17</v>
      </c>
      <c r="D296" s="1" t="s">
        <v>18</v>
      </c>
      <c r="E296" s="1" t="s">
        <v>855</v>
      </c>
      <c r="F296" s="1" t="s">
        <v>29</v>
      </c>
      <c r="G296" s="2">
        <v>45472</v>
      </c>
      <c r="H296" s="2">
        <v>45292</v>
      </c>
      <c r="I296" s="1" t="s">
        <v>20</v>
      </c>
      <c r="J296" s="1" t="s">
        <v>21</v>
      </c>
      <c r="K296" s="1" t="s">
        <v>110</v>
      </c>
      <c r="L296" s="1" t="s">
        <v>23</v>
      </c>
      <c r="M296" s="1" t="s">
        <v>24</v>
      </c>
      <c r="N296" s="1" t="s">
        <v>25</v>
      </c>
      <c r="O296" s="8">
        <v>30000</v>
      </c>
    </row>
    <row r="297" spans="1:15" ht="15.7" customHeight="1" x14ac:dyDescent="0.3">
      <c r="A297" s="1" t="s">
        <v>626</v>
      </c>
      <c r="B297" s="1" t="s">
        <v>187</v>
      </c>
      <c r="C297" s="1" t="s">
        <v>41</v>
      </c>
      <c r="D297" s="1" t="s">
        <v>18</v>
      </c>
      <c r="E297" s="1" t="s">
        <v>855</v>
      </c>
      <c r="F297" s="1" t="s">
        <v>29</v>
      </c>
      <c r="G297" s="2">
        <v>45472</v>
      </c>
      <c r="H297" s="2">
        <v>45292</v>
      </c>
      <c r="I297" s="1" t="s">
        <v>20</v>
      </c>
      <c r="J297" s="1" t="s">
        <v>21</v>
      </c>
      <c r="K297" s="1" t="s">
        <v>36</v>
      </c>
      <c r="L297" s="1" t="s">
        <v>185</v>
      </c>
      <c r="M297" s="1" t="s">
        <v>277</v>
      </c>
      <c r="N297" s="1" t="s">
        <v>25</v>
      </c>
      <c r="O297" s="8">
        <v>30000</v>
      </c>
    </row>
    <row r="298" spans="1:15" ht="15.7" customHeight="1" x14ac:dyDescent="0.3">
      <c r="A298" s="1" t="s">
        <v>627</v>
      </c>
      <c r="B298" s="1" t="s">
        <v>628</v>
      </c>
      <c r="C298" s="1" t="s">
        <v>34</v>
      </c>
      <c r="D298" s="1" t="s">
        <v>18</v>
      </c>
      <c r="E298" s="1" t="s">
        <v>855</v>
      </c>
      <c r="F298" s="1" t="s">
        <v>29</v>
      </c>
      <c r="G298" s="2">
        <v>45472</v>
      </c>
      <c r="H298" s="2">
        <v>45292</v>
      </c>
      <c r="I298" s="1" t="s">
        <v>76</v>
      </c>
      <c r="J298" s="1" t="s">
        <v>21</v>
      </c>
      <c r="K298" s="1" t="s">
        <v>22</v>
      </c>
      <c r="L298" s="1" t="s">
        <v>219</v>
      </c>
      <c r="M298" s="1" t="s">
        <v>44</v>
      </c>
      <c r="N298" s="1" t="s">
        <v>25</v>
      </c>
      <c r="O298" s="8">
        <v>30000</v>
      </c>
    </row>
    <row r="299" spans="1:15" ht="15.7" customHeight="1" x14ac:dyDescent="0.3">
      <c r="A299" s="1" t="s">
        <v>629</v>
      </c>
      <c r="B299" s="1" t="s">
        <v>630</v>
      </c>
      <c r="C299" s="1" t="s">
        <v>34</v>
      </c>
      <c r="D299" s="1" t="s">
        <v>18</v>
      </c>
      <c r="E299" s="1" t="s">
        <v>855</v>
      </c>
      <c r="F299" s="1" t="s">
        <v>29</v>
      </c>
      <c r="G299" s="2">
        <v>45472</v>
      </c>
      <c r="H299" s="2">
        <v>45292</v>
      </c>
      <c r="I299" s="1" t="s">
        <v>76</v>
      </c>
      <c r="J299" s="1" t="s">
        <v>35</v>
      </c>
      <c r="K299" s="1" t="s">
        <v>36</v>
      </c>
      <c r="L299" s="1" t="s">
        <v>23</v>
      </c>
      <c r="M299" s="1" t="s">
        <v>24</v>
      </c>
      <c r="N299" s="1" t="s">
        <v>25</v>
      </c>
      <c r="O299" s="8">
        <v>30000</v>
      </c>
    </row>
    <row r="300" spans="1:15" ht="15.7" customHeight="1" x14ac:dyDescent="0.3">
      <c r="A300" s="1" t="s">
        <v>631</v>
      </c>
      <c r="B300" s="1" t="s">
        <v>632</v>
      </c>
      <c r="C300" s="1" t="s">
        <v>34</v>
      </c>
      <c r="D300" s="1" t="s">
        <v>18</v>
      </c>
      <c r="E300" s="1" t="s">
        <v>855</v>
      </c>
      <c r="F300" s="1" t="s">
        <v>29</v>
      </c>
      <c r="G300" s="2">
        <v>45472</v>
      </c>
      <c r="H300" s="2">
        <v>45292</v>
      </c>
      <c r="I300" s="1" t="s">
        <v>20</v>
      </c>
      <c r="J300" s="1" t="s">
        <v>35</v>
      </c>
      <c r="K300" s="1" t="s">
        <v>36</v>
      </c>
      <c r="L300" s="1" t="s">
        <v>23</v>
      </c>
      <c r="M300" s="1" t="s">
        <v>24</v>
      </c>
      <c r="N300" s="1" t="s">
        <v>25</v>
      </c>
      <c r="O300" s="8">
        <v>30000</v>
      </c>
    </row>
    <row r="301" spans="1:15" ht="15.7" customHeight="1" x14ac:dyDescent="0.3">
      <c r="A301" s="1" t="s">
        <v>633</v>
      </c>
      <c r="B301" s="1" t="s">
        <v>634</v>
      </c>
      <c r="C301" s="1" t="s">
        <v>41</v>
      </c>
      <c r="D301" s="1" t="s">
        <v>18</v>
      </c>
      <c r="E301" s="1" t="s">
        <v>855</v>
      </c>
      <c r="F301" s="1" t="s">
        <v>29</v>
      </c>
      <c r="G301" s="2">
        <v>45472</v>
      </c>
      <c r="H301" s="2">
        <v>45292</v>
      </c>
      <c r="I301" s="1" t="s">
        <v>20</v>
      </c>
      <c r="J301" s="1" t="s">
        <v>21</v>
      </c>
      <c r="K301" s="1" t="s">
        <v>30</v>
      </c>
      <c r="L301" s="1" t="s">
        <v>23</v>
      </c>
      <c r="M301" s="1" t="s">
        <v>24</v>
      </c>
      <c r="N301" s="1" t="s">
        <v>25</v>
      </c>
      <c r="O301" s="8">
        <v>30000</v>
      </c>
    </row>
    <row r="302" spans="1:15" ht="15.7" customHeight="1" x14ac:dyDescent="0.3">
      <c r="A302" s="1" t="s">
        <v>635</v>
      </c>
      <c r="B302" s="1" t="s">
        <v>636</v>
      </c>
      <c r="C302" s="1" t="s">
        <v>34</v>
      </c>
      <c r="D302" s="1" t="s">
        <v>637</v>
      </c>
      <c r="E302" s="1" t="s">
        <v>855</v>
      </c>
      <c r="F302" s="1" t="s">
        <v>29</v>
      </c>
      <c r="G302" s="2">
        <v>45472</v>
      </c>
      <c r="H302" s="2">
        <v>45292</v>
      </c>
      <c r="I302" s="1" t="s">
        <v>20</v>
      </c>
      <c r="J302" s="1" t="s">
        <v>21</v>
      </c>
      <c r="K302" s="1" t="s">
        <v>30</v>
      </c>
      <c r="L302" s="1" t="s">
        <v>23</v>
      </c>
      <c r="M302" s="1" t="s">
        <v>24</v>
      </c>
      <c r="N302" s="1" t="s">
        <v>25</v>
      </c>
      <c r="O302" s="8">
        <v>30000</v>
      </c>
    </row>
    <row r="303" spans="1:15" ht="15.7" customHeight="1" x14ac:dyDescent="0.3">
      <c r="A303" s="1" t="s">
        <v>638</v>
      </c>
      <c r="B303" s="1" t="s">
        <v>639</v>
      </c>
      <c r="C303" s="1" t="s">
        <v>34</v>
      </c>
      <c r="D303" s="1" t="s">
        <v>637</v>
      </c>
      <c r="E303" s="1" t="s">
        <v>855</v>
      </c>
      <c r="F303" s="1" t="s">
        <v>29</v>
      </c>
      <c r="G303" s="2">
        <v>45472</v>
      </c>
      <c r="H303" s="2">
        <v>45292</v>
      </c>
      <c r="I303" s="1" t="s">
        <v>20</v>
      </c>
      <c r="J303" s="1" t="s">
        <v>21</v>
      </c>
      <c r="K303" s="1" t="s">
        <v>30</v>
      </c>
      <c r="L303" s="1" t="s">
        <v>23</v>
      </c>
      <c r="M303" s="1" t="s">
        <v>24</v>
      </c>
      <c r="N303" s="1" t="s">
        <v>25</v>
      </c>
      <c r="O303" s="8">
        <v>30000</v>
      </c>
    </row>
    <row r="304" spans="1:15" ht="15.7" customHeight="1" x14ac:dyDescent="0.3">
      <c r="A304" s="1" t="s">
        <v>640</v>
      </c>
      <c r="B304" s="1" t="s">
        <v>641</v>
      </c>
      <c r="C304" s="1" t="s">
        <v>41</v>
      </c>
      <c r="D304" s="1" t="s">
        <v>18</v>
      </c>
      <c r="E304" s="1" t="s">
        <v>855</v>
      </c>
      <c r="F304" s="1" t="s">
        <v>29</v>
      </c>
      <c r="G304" s="2">
        <v>45473</v>
      </c>
      <c r="H304" s="2">
        <v>45293</v>
      </c>
      <c r="I304" s="1" t="s">
        <v>20</v>
      </c>
      <c r="J304" s="1" t="s">
        <v>21</v>
      </c>
      <c r="K304" s="1" t="s">
        <v>143</v>
      </c>
      <c r="L304" s="1" t="s">
        <v>111</v>
      </c>
      <c r="M304" s="1" t="s">
        <v>44</v>
      </c>
      <c r="N304" s="1" t="s">
        <v>25</v>
      </c>
      <c r="O304" s="8">
        <v>30000</v>
      </c>
    </row>
    <row r="305" spans="1:15" ht="15.7" customHeight="1" x14ac:dyDescent="0.3">
      <c r="A305" s="1" t="s">
        <v>642</v>
      </c>
      <c r="B305" s="1" t="s">
        <v>643</v>
      </c>
      <c r="C305" s="1" t="s">
        <v>41</v>
      </c>
      <c r="D305" s="1" t="s">
        <v>18</v>
      </c>
      <c r="E305" s="1" t="s">
        <v>855</v>
      </c>
      <c r="F305" s="1" t="s">
        <v>29</v>
      </c>
      <c r="G305" s="2">
        <v>45473</v>
      </c>
      <c r="H305" s="2">
        <v>45293</v>
      </c>
      <c r="I305" s="1" t="s">
        <v>20</v>
      </c>
      <c r="J305" s="1" t="s">
        <v>21</v>
      </c>
      <c r="K305" s="1" t="s">
        <v>22</v>
      </c>
      <c r="L305" s="1" t="s">
        <v>91</v>
      </c>
      <c r="M305" s="1" t="s">
        <v>44</v>
      </c>
      <c r="N305" s="1" t="s">
        <v>25</v>
      </c>
      <c r="O305" s="8">
        <v>30000</v>
      </c>
    </row>
    <row r="306" spans="1:15" ht="15.7" customHeight="1" x14ac:dyDescent="0.3">
      <c r="A306" s="1" t="s">
        <v>644</v>
      </c>
      <c r="B306" s="1" t="s">
        <v>645</v>
      </c>
      <c r="C306" s="1" t="s">
        <v>34</v>
      </c>
      <c r="D306" s="1" t="s">
        <v>18</v>
      </c>
      <c r="E306" s="1" t="s">
        <v>855</v>
      </c>
      <c r="F306" s="1" t="s">
        <v>29</v>
      </c>
      <c r="G306" s="2">
        <v>45473</v>
      </c>
      <c r="H306" s="2">
        <v>45293</v>
      </c>
      <c r="I306" s="1" t="s">
        <v>20</v>
      </c>
      <c r="J306" s="1" t="s">
        <v>21</v>
      </c>
      <c r="K306" s="1" t="s">
        <v>36</v>
      </c>
      <c r="L306" s="1" t="s">
        <v>23</v>
      </c>
      <c r="M306" s="1" t="s">
        <v>24</v>
      </c>
      <c r="N306" s="1" t="s">
        <v>25</v>
      </c>
      <c r="O306" s="8">
        <v>30000</v>
      </c>
    </row>
    <row r="307" spans="1:15" ht="15.7" customHeight="1" x14ac:dyDescent="0.3">
      <c r="A307" s="1" t="s">
        <v>646</v>
      </c>
      <c r="B307" s="1" t="s">
        <v>647</v>
      </c>
      <c r="C307" s="1" t="s">
        <v>41</v>
      </c>
      <c r="D307" s="1" t="s">
        <v>18</v>
      </c>
      <c r="E307" s="1" t="s">
        <v>855</v>
      </c>
      <c r="F307" s="1" t="s">
        <v>29</v>
      </c>
      <c r="G307" s="2">
        <v>45474</v>
      </c>
      <c r="H307" s="2">
        <v>45294</v>
      </c>
      <c r="I307" s="1" t="s">
        <v>76</v>
      </c>
      <c r="J307" s="1" t="s">
        <v>21</v>
      </c>
      <c r="K307" s="1" t="s">
        <v>36</v>
      </c>
      <c r="L307" s="1" t="s">
        <v>276</v>
      </c>
      <c r="M307" s="1" t="s">
        <v>277</v>
      </c>
      <c r="N307" s="1" t="s">
        <v>25</v>
      </c>
      <c r="O307" s="8">
        <v>30000</v>
      </c>
    </row>
    <row r="308" spans="1:15" ht="15.7" customHeight="1" x14ac:dyDescent="0.3">
      <c r="A308" s="1" t="s">
        <v>648</v>
      </c>
      <c r="B308" s="1" t="s">
        <v>649</v>
      </c>
      <c r="C308" s="1" t="s">
        <v>41</v>
      </c>
      <c r="D308" s="1" t="s">
        <v>18</v>
      </c>
      <c r="E308" s="1" t="s">
        <v>855</v>
      </c>
      <c r="F308" s="1" t="s">
        <v>29</v>
      </c>
      <c r="G308" s="2">
        <v>45474</v>
      </c>
      <c r="H308" s="2">
        <v>45294</v>
      </c>
      <c r="I308" s="1" t="s">
        <v>76</v>
      </c>
      <c r="J308" s="1" t="s">
        <v>21</v>
      </c>
      <c r="K308" s="1" t="s">
        <v>30</v>
      </c>
      <c r="L308" s="1" t="s">
        <v>23</v>
      </c>
      <c r="M308" s="1" t="s">
        <v>24</v>
      </c>
      <c r="N308" s="1" t="s">
        <v>25</v>
      </c>
      <c r="O308" s="8">
        <v>30000</v>
      </c>
    </row>
    <row r="309" spans="1:15" ht="15.7" customHeight="1" x14ac:dyDescent="0.3">
      <c r="A309" s="1" t="s">
        <v>650</v>
      </c>
      <c r="B309" s="1" t="s">
        <v>651</v>
      </c>
      <c r="C309" s="1" t="s">
        <v>34</v>
      </c>
      <c r="D309" s="1" t="s">
        <v>18</v>
      </c>
      <c r="E309" s="1" t="s">
        <v>855</v>
      </c>
      <c r="F309" s="1" t="s">
        <v>29</v>
      </c>
      <c r="G309" s="2">
        <v>45477</v>
      </c>
      <c r="H309" s="2">
        <v>45297</v>
      </c>
      <c r="I309" s="1" t="s">
        <v>20</v>
      </c>
      <c r="J309" s="1" t="s">
        <v>21</v>
      </c>
      <c r="K309" s="1" t="s">
        <v>22</v>
      </c>
      <c r="L309" s="1" t="s">
        <v>91</v>
      </c>
      <c r="M309" s="1" t="s">
        <v>44</v>
      </c>
      <c r="N309" s="1" t="s">
        <v>25</v>
      </c>
      <c r="O309" s="8">
        <v>30000</v>
      </c>
    </row>
    <row r="310" spans="1:15" ht="15.7" customHeight="1" x14ac:dyDescent="0.3">
      <c r="A310" s="1" t="s">
        <v>652</v>
      </c>
      <c r="B310" s="1" t="s">
        <v>653</v>
      </c>
      <c r="C310" s="1" t="s">
        <v>17</v>
      </c>
      <c r="D310" s="1" t="s">
        <v>18</v>
      </c>
      <c r="E310" s="1" t="s">
        <v>855</v>
      </c>
      <c r="F310" s="1" t="s">
        <v>29</v>
      </c>
      <c r="G310" s="2">
        <v>45477</v>
      </c>
      <c r="H310" s="2">
        <v>45297</v>
      </c>
      <c r="I310" s="1" t="s">
        <v>20</v>
      </c>
      <c r="J310" s="1" t="s">
        <v>21</v>
      </c>
      <c r="K310" s="1" t="s">
        <v>22</v>
      </c>
      <c r="L310" s="1" t="s">
        <v>91</v>
      </c>
      <c r="M310" s="1" t="s">
        <v>44</v>
      </c>
      <c r="N310" s="1" t="s">
        <v>25</v>
      </c>
      <c r="O310" s="8">
        <v>30000</v>
      </c>
    </row>
    <row r="311" spans="1:15" ht="15.7" customHeight="1" x14ac:dyDescent="0.3">
      <c r="A311" s="1" t="s">
        <v>654</v>
      </c>
      <c r="B311" s="1" t="s">
        <v>655</v>
      </c>
      <c r="C311" s="1" t="s">
        <v>17</v>
      </c>
      <c r="D311" s="1" t="s">
        <v>18</v>
      </c>
      <c r="E311" s="1" t="s">
        <v>855</v>
      </c>
      <c r="F311" s="1" t="s">
        <v>29</v>
      </c>
      <c r="G311" s="2">
        <v>45477</v>
      </c>
      <c r="H311" s="2">
        <v>45297</v>
      </c>
      <c r="I311" s="1" t="s">
        <v>76</v>
      </c>
      <c r="J311" s="1" t="s">
        <v>35</v>
      </c>
      <c r="K311" s="1" t="s">
        <v>22</v>
      </c>
      <c r="L311" s="1" t="s">
        <v>111</v>
      </c>
      <c r="M311" s="1" t="s">
        <v>44</v>
      </c>
      <c r="N311" s="1" t="s">
        <v>25</v>
      </c>
      <c r="O311" s="8">
        <v>30000</v>
      </c>
    </row>
    <row r="312" spans="1:15" ht="15.7" customHeight="1" x14ac:dyDescent="0.3">
      <c r="A312" s="1" t="s">
        <v>656</v>
      </c>
      <c r="B312" s="1" t="s">
        <v>657</v>
      </c>
      <c r="C312" s="1" t="s">
        <v>34</v>
      </c>
      <c r="D312" s="1" t="s">
        <v>18</v>
      </c>
      <c r="E312" s="1" t="s">
        <v>855</v>
      </c>
      <c r="F312" s="1" t="s">
        <v>29</v>
      </c>
      <c r="G312" s="2">
        <v>45477</v>
      </c>
      <c r="H312" s="2">
        <v>45297</v>
      </c>
      <c r="I312" s="1" t="s">
        <v>76</v>
      </c>
      <c r="J312" s="1" t="s">
        <v>21</v>
      </c>
      <c r="K312" s="1" t="s">
        <v>30</v>
      </c>
      <c r="L312" s="1" t="s">
        <v>23</v>
      </c>
      <c r="M312" s="1" t="s">
        <v>24</v>
      </c>
      <c r="N312" s="1" t="s">
        <v>25</v>
      </c>
      <c r="O312" s="8">
        <v>6000</v>
      </c>
    </row>
    <row r="313" spans="1:15" ht="15.7" customHeight="1" x14ac:dyDescent="0.3">
      <c r="A313" s="1" t="s">
        <v>658</v>
      </c>
      <c r="B313" s="1" t="s">
        <v>659</v>
      </c>
      <c r="C313" s="1" t="s">
        <v>34</v>
      </c>
      <c r="D313" s="1" t="s">
        <v>164</v>
      </c>
      <c r="E313" s="1" t="s">
        <v>854</v>
      </c>
      <c r="F313" s="1" t="s">
        <v>29</v>
      </c>
      <c r="G313" s="2">
        <v>45475</v>
      </c>
      <c r="H313" s="2">
        <v>45295</v>
      </c>
      <c r="I313" s="1" t="s">
        <v>20</v>
      </c>
      <c r="J313" s="1" t="s">
        <v>21</v>
      </c>
      <c r="K313" s="1" t="s">
        <v>30</v>
      </c>
      <c r="L313" s="1" t="s">
        <v>167</v>
      </c>
      <c r="M313" s="1" t="s">
        <v>857</v>
      </c>
      <c r="N313" s="1" t="s">
        <v>25</v>
      </c>
      <c r="O313" s="8">
        <v>6000</v>
      </c>
    </row>
    <row r="314" spans="1:15" ht="15.7" customHeight="1" x14ac:dyDescent="0.3">
      <c r="A314" s="1" t="s">
        <v>660</v>
      </c>
      <c r="B314" s="1" t="s">
        <v>661</v>
      </c>
      <c r="C314" s="1" t="s">
        <v>41</v>
      </c>
      <c r="D314" s="1" t="s">
        <v>18</v>
      </c>
      <c r="E314" s="1" t="s">
        <v>855</v>
      </c>
      <c r="F314" s="1" t="s">
        <v>29</v>
      </c>
      <c r="G314" s="2">
        <v>45477</v>
      </c>
      <c r="H314" s="2">
        <v>45297</v>
      </c>
      <c r="I314" s="1" t="s">
        <v>20</v>
      </c>
      <c r="J314" s="1" t="s">
        <v>21</v>
      </c>
      <c r="K314" s="1" t="s">
        <v>110</v>
      </c>
      <c r="L314" s="1" t="s">
        <v>23</v>
      </c>
      <c r="M314" s="1" t="s">
        <v>24</v>
      </c>
      <c r="N314" s="1" t="s">
        <v>25</v>
      </c>
      <c r="O314" s="8">
        <v>6000</v>
      </c>
    </row>
    <row r="315" spans="1:15" ht="15.7" customHeight="1" x14ac:dyDescent="0.3">
      <c r="A315" s="1" t="s">
        <v>662</v>
      </c>
      <c r="B315" s="1" t="s">
        <v>663</v>
      </c>
      <c r="C315" s="1" t="s">
        <v>41</v>
      </c>
      <c r="D315" s="1" t="s">
        <v>18</v>
      </c>
      <c r="E315" s="1" t="s">
        <v>855</v>
      </c>
      <c r="F315" s="1" t="s">
        <v>29</v>
      </c>
      <c r="G315" s="2">
        <v>45477</v>
      </c>
      <c r="H315" s="2">
        <v>45297</v>
      </c>
      <c r="I315" s="1" t="s">
        <v>20</v>
      </c>
      <c r="J315" s="1" t="s">
        <v>21</v>
      </c>
      <c r="K315" s="1" t="s">
        <v>22</v>
      </c>
      <c r="L315" s="1" t="s">
        <v>214</v>
      </c>
      <c r="M315" s="1" t="s">
        <v>24</v>
      </c>
      <c r="N315" s="1" t="s">
        <v>25</v>
      </c>
      <c r="O315" s="8">
        <v>6000</v>
      </c>
    </row>
    <row r="316" spans="1:15" ht="15.7" customHeight="1" x14ac:dyDescent="0.3">
      <c r="A316" s="1" t="s">
        <v>664</v>
      </c>
      <c r="B316" s="1" t="s">
        <v>665</v>
      </c>
      <c r="C316" s="1" t="s">
        <v>41</v>
      </c>
      <c r="D316" s="1" t="s">
        <v>18</v>
      </c>
      <c r="E316" s="1" t="s">
        <v>855</v>
      </c>
      <c r="F316" s="1" t="s">
        <v>29</v>
      </c>
      <c r="G316" s="2">
        <v>45480</v>
      </c>
      <c r="H316" s="2">
        <v>45300</v>
      </c>
      <c r="I316" s="1" t="s">
        <v>20</v>
      </c>
      <c r="J316" s="1" t="s">
        <v>21</v>
      </c>
      <c r="K316" s="1" t="s">
        <v>110</v>
      </c>
      <c r="L316" s="1" t="s">
        <v>114</v>
      </c>
      <c r="M316" s="1" t="s">
        <v>24</v>
      </c>
      <c r="N316" s="1" t="s">
        <v>25</v>
      </c>
      <c r="O316" s="8">
        <v>6000</v>
      </c>
    </row>
    <row r="317" spans="1:15" ht="15.7" customHeight="1" x14ac:dyDescent="0.3">
      <c r="A317" s="1" t="s">
        <v>666</v>
      </c>
      <c r="B317" s="1" t="s">
        <v>667</v>
      </c>
      <c r="C317" s="1" t="s">
        <v>34</v>
      </c>
      <c r="D317" s="1" t="s">
        <v>18</v>
      </c>
      <c r="E317" s="1" t="s">
        <v>855</v>
      </c>
      <c r="F317" s="1" t="s">
        <v>29</v>
      </c>
      <c r="G317" s="2">
        <v>45480</v>
      </c>
      <c r="H317" s="2">
        <v>45300</v>
      </c>
      <c r="I317" s="1" t="s">
        <v>76</v>
      </c>
      <c r="J317" s="1" t="s">
        <v>21</v>
      </c>
      <c r="K317" s="1" t="s">
        <v>110</v>
      </c>
      <c r="L317" s="1" t="s">
        <v>219</v>
      </c>
      <c r="M317" s="1" t="s">
        <v>44</v>
      </c>
      <c r="N317" s="1" t="s">
        <v>25</v>
      </c>
      <c r="O317" s="8">
        <v>6000</v>
      </c>
    </row>
    <row r="318" spans="1:15" ht="15.7" customHeight="1" x14ac:dyDescent="0.3">
      <c r="A318" s="1" t="s">
        <v>668</v>
      </c>
      <c r="B318" s="1" t="s">
        <v>669</v>
      </c>
      <c r="C318" s="1" t="s">
        <v>199</v>
      </c>
      <c r="D318" s="1" t="s">
        <v>18</v>
      </c>
      <c r="E318" s="1" t="s">
        <v>855</v>
      </c>
      <c r="F318" s="1" t="s">
        <v>29</v>
      </c>
      <c r="G318" s="2">
        <v>45480</v>
      </c>
      <c r="H318" s="2">
        <v>45300</v>
      </c>
      <c r="I318" s="1" t="s">
        <v>76</v>
      </c>
      <c r="J318" s="1" t="s">
        <v>35</v>
      </c>
      <c r="K318" s="1" t="s">
        <v>36</v>
      </c>
      <c r="L318" s="1" t="s">
        <v>214</v>
      </c>
      <c r="M318" s="1" t="s">
        <v>24</v>
      </c>
      <c r="N318" s="1" t="s">
        <v>25</v>
      </c>
      <c r="O318" s="8">
        <v>6000</v>
      </c>
    </row>
    <row r="319" spans="1:15" ht="15.7" customHeight="1" x14ac:dyDescent="0.3">
      <c r="A319" s="1" t="s">
        <v>670</v>
      </c>
      <c r="B319" s="1" t="s">
        <v>671</v>
      </c>
      <c r="C319" s="1" t="s">
        <v>17</v>
      </c>
      <c r="D319" s="1" t="s">
        <v>18</v>
      </c>
      <c r="E319" s="1" t="s">
        <v>855</v>
      </c>
      <c r="F319" s="1" t="s">
        <v>29</v>
      </c>
      <c r="G319" s="2">
        <v>45480</v>
      </c>
      <c r="H319" s="2">
        <v>45300</v>
      </c>
      <c r="I319" s="1" t="s">
        <v>76</v>
      </c>
      <c r="J319" s="1" t="s">
        <v>21</v>
      </c>
      <c r="K319" s="1" t="s">
        <v>36</v>
      </c>
      <c r="L319" s="1" t="s">
        <v>214</v>
      </c>
      <c r="M319" s="1" t="s">
        <v>24</v>
      </c>
      <c r="N319" s="1" t="s">
        <v>25</v>
      </c>
      <c r="O319" s="8">
        <v>6000</v>
      </c>
    </row>
    <row r="320" spans="1:15" ht="15.7" customHeight="1" x14ac:dyDescent="0.3">
      <c r="A320" s="1" t="s">
        <v>672</v>
      </c>
      <c r="B320" s="1" t="s">
        <v>673</v>
      </c>
      <c r="C320" s="1" t="s">
        <v>41</v>
      </c>
      <c r="D320" s="1" t="s">
        <v>18</v>
      </c>
      <c r="E320" s="1" t="s">
        <v>855</v>
      </c>
      <c r="F320" s="1" t="s">
        <v>29</v>
      </c>
      <c r="G320" s="2">
        <v>45480</v>
      </c>
      <c r="H320" s="2">
        <v>45300</v>
      </c>
      <c r="I320" s="1" t="s">
        <v>76</v>
      </c>
      <c r="J320" s="1" t="s">
        <v>21</v>
      </c>
      <c r="K320" s="1" t="s">
        <v>110</v>
      </c>
      <c r="L320" s="1" t="s">
        <v>214</v>
      </c>
      <c r="M320" s="1" t="s">
        <v>24</v>
      </c>
      <c r="N320" s="1" t="s">
        <v>25</v>
      </c>
      <c r="O320" s="8">
        <v>6000</v>
      </c>
    </row>
    <row r="321" spans="1:15" ht="15.7" customHeight="1" x14ac:dyDescent="0.3">
      <c r="A321" s="1" t="s">
        <v>674</v>
      </c>
      <c r="B321" s="1" t="s">
        <v>675</v>
      </c>
      <c r="C321" s="1" t="s">
        <v>17</v>
      </c>
      <c r="D321" s="1" t="s">
        <v>18</v>
      </c>
      <c r="E321" s="1" t="s">
        <v>855</v>
      </c>
      <c r="F321" s="1" t="s">
        <v>29</v>
      </c>
      <c r="G321" s="2">
        <v>45481</v>
      </c>
      <c r="H321" s="2">
        <v>45301</v>
      </c>
      <c r="I321" s="1" t="s">
        <v>20</v>
      </c>
      <c r="J321" s="1" t="s">
        <v>21</v>
      </c>
      <c r="K321" s="1" t="s">
        <v>22</v>
      </c>
      <c r="L321" s="1" t="s">
        <v>219</v>
      </c>
      <c r="M321" s="1" t="s">
        <v>44</v>
      </c>
      <c r="N321" s="1" t="s">
        <v>25</v>
      </c>
      <c r="O321" s="8">
        <v>6000</v>
      </c>
    </row>
    <row r="322" spans="1:15" ht="15.7" customHeight="1" x14ac:dyDescent="0.3">
      <c r="A322" s="1" t="s">
        <v>676</v>
      </c>
      <c r="B322" s="1" t="s">
        <v>677</v>
      </c>
      <c r="C322" s="1" t="s">
        <v>17</v>
      </c>
      <c r="D322" s="1" t="s">
        <v>18</v>
      </c>
      <c r="E322" s="1" t="s">
        <v>855</v>
      </c>
      <c r="F322" s="1" t="s">
        <v>29</v>
      </c>
      <c r="G322" s="2">
        <v>45481</v>
      </c>
      <c r="H322" s="2">
        <v>45301</v>
      </c>
      <c r="I322" s="1" t="s">
        <v>76</v>
      </c>
      <c r="J322" s="1" t="s">
        <v>21</v>
      </c>
      <c r="K322" s="1" t="s">
        <v>22</v>
      </c>
      <c r="L322" s="1" t="s">
        <v>219</v>
      </c>
      <c r="M322" s="1" t="s">
        <v>44</v>
      </c>
      <c r="N322" s="1" t="s">
        <v>25</v>
      </c>
      <c r="O322" s="8">
        <v>6000</v>
      </c>
    </row>
    <row r="323" spans="1:15" ht="15.7" customHeight="1" x14ac:dyDescent="0.3">
      <c r="A323" s="1" t="s">
        <v>678</v>
      </c>
      <c r="B323" s="1" t="s">
        <v>679</v>
      </c>
      <c r="C323" s="1" t="s">
        <v>41</v>
      </c>
      <c r="D323" s="1" t="s">
        <v>18</v>
      </c>
      <c r="E323" s="1" t="s">
        <v>855</v>
      </c>
      <c r="F323" s="1" t="s">
        <v>29</v>
      </c>
      <c r="G323" s="2">
        <v>45481</v>
      </c>
      <c r="H323" s="2">
        <v>45301</v>
      </c>
      <c r="I323" s="1" t="s">
        <v>76</v>
      </c>
      <c r="J323" s="1" t="s">
        <v>21</v>
      </c>
      <c r="K323" s="1" t="s">
        <v>110</v>
      </c>
      <c r="L323" s="1" t="s">
        <v>680</v>
      </c>
      <c r="M323" s="1" t="s">
        <v>97</v>
      </c>
      <c r="N323" s="1" t="s">
        <v>25</v>
      </c>
      <c r="O323" s="8">
        <v>6000</v>
      </c>
    </row>
    <row r="324" spans="1:15" ht="15.7" customHeight="1" x14ac:dyDescent="0.3">
      <c r="A324" s="1" t="s">
        <v>681</v>
      </c>
      <c r="B324" s="1" t="s">
        <v>327</v>
      </c>
      <c r="C324" s="1" t="s">
        <v>34</v>
      </c>
      <c r="D324" s="1" t="s">
        <v>18</v>
      </c>
      <c r="E324" s="1" t="s">
        <v>855</v>
      </c>
      <c r="F324" s="1" t="s">
        <v>29</v>
      </c>
      <c r="G324" s="2">
        <v>45481</v>
      </c>
      <c r="H324" s="2">
        <v>45301</v>
      </c>
      <c r="I324" s="1" t="s">
        <v>20</v>
      </c>
      <c r="J324" s="1" t="s">
        <v>21</v>
      </c>
      <c r="K324" s="1" t="s">
        <v>22</v>
      </c>
      <c r="L324" s="1" t="s">
        <v>91</v>
      </c>
      <c r="M324" s="1" t="s">
        <v>44</v>
      </c>
      <c r="N324" s="1" t="s">
        <v>25</v>
      </c>
      <c r="O324" s="8">
        <v>6000</v>
      </c>
    </row>
    <row r="325" spans="1:15" ht="15.7" customHeight="1" x14ac:dyDescent="0.3">
      <c r="A325" s="1" t="s">
        <v>682</v>
      </c>
      <c r="B325" s="1" t="s">
        <v>56</v>
      </c>
      <c r="C325" s="1" t="s">
        <v>34</v>
      </c>
      <c r="D325" s="1" t="s">
        <v>18</v>
      </c>
      <c r="E325" s="1" t="s">
        <v>855</v>
      </c>
      <c r="F325" s="1" t="s">
        <v>29</v>
      </c>
      <c r="G325" s="2">
        <v>45481</v>
      </c>
      <c r="H325" s="2">
        <v>45301</v>
      </c>
      <c r="I325" s="1" t="s">
        <v>20</v>
      </c>
      <c r="J325" s="1" t="s">
        <v>21</v>
      </c>
      <c r="K325" s="1" t="s">
        <v>36</v>
      </c>
      <c r="L325" s="1" t="s">
        <v>91</v>
      </c>
      <c r="M325" s="1" t="s">
        <v>44</v>
      </c>
      <c r="N325" s="1" t="s">
        <v>25</v>
      </c>
      <c r="O325" s="8">
        <v>6000</v>
      </c>
    </row>
    <row r="326" spans="1:15" ht="15.7" customHeight="1" x14ac:dyDescent="0.3">
      <c r="A326" s="1" t="s">
        <v>683</v>
      </c>
      <c r="B326" s="1" t="s">
        <v>684</v>
      </c>
      <c r="C326" s="1" t="s">
        <v>34</v>
      </c>
      <c r="D326" s="1" t="s">
        <v>18</v>
      </c>
      <c r="E326" s="1" t="s">
        <v>855</v>
      </c>
      <c r="F326" s="1" t="s">
        <v>29</v>
      </c>
      <c r="G326" s="2">
        <v>45481</v>
      </c>
      <c r="H326" s="2">
        <v>45301</v>
      </c>
      <c r="I326" s="1" t="s">
        <v>76</v>
      </c>
      <c r="J326" s="1" t="s">
        <v>21</v>
      </c>
      <c r="K326" s="1" t="s">
        <v>110</v>
      </c>
      <c r="L326" s="1" t="s">
        <v>214</v>
      </c>
      <c r="M326" s="1" t="s">
        <v>24</v>
      </c>
      <c r="N326" s="1" t="s">
        <v>25</v>
      </c>
      <c r="O326" s="8">
        <v>6000</v>
      </c>
    </row>
    <row r="327" spans="1:15" ht="15.7" customHeight="1" x14ac:dyDescent="0.3">
      <c r="A327" s="1" t="s">
        <v>685</v>
      </c>
      <c r="B327" s="1" t="s">
        <v>686</v>
      </c>
      <c r="C327" s="1" t="s">
        <v>34</v>
      </c>
      <c r="D327" s="1" t="s">
        <v>18</v>
      </c>
      <c r="E327" s="1" t="s">
        <v>855</v>
      </c>
      <c r="F327" s="1" t="s">
        <v>29</v>
      </c>
      <c r="G327" s="2">
        <v>45481</v>
      </c>
      <c r="H327" s="2">
        <v>45301</v>
      </c>
      <c r="I327" s="1" t="s">
        <v>20</v>
      </c>
      <c r="J327" s="1" t="s">
        <v>21</v>
      </c>
      <c r="K327" s="1" t="s">
        <v>36</v>
      </c>
      <c r="L327" s="1" t="s">
        <v>687</v>
      </c>
      <c r="M327" s="1" t="s">
        <v>44</v>
      </c>
      <c r="N327" s="1" t="s">
        <v>25</v>
      </c>
      <c r="O327" s="8">
        <v>6000</v>
      </c>
    </row>
    <row r="328" spans="1:15" ht="15.7" customHeight="1" x14ac:dyDescent="0.3">
      <c r="A328" s="1" t="s">
        <v>688</v>
      </c>
      <c r="B328" s="1" t="s">
        <v>689</v>
      </c>
      <c r="C328" s="1" t="s">
        <v>41</v>
      </c>
      <c r="D328" s="1" t="s">
        <v>18</v>
      </c>
      <c r="E328" s="1" t="s">
        <v>855</v>
      </c>
      <c r="F328" s="1" t="s">
        <v>29</v>
      </c>
      <c r="G328" s="2">
        <v>45481</v>
      </c>
      <c r="H328" s="2">
        <v>45301</v>
      </c>
      <c r="I328" s="1" t="s">
        <v>20</v>
      </c>
      <c r="J328" s="1" t="s">
        <v>21</v>
      </c>
      <c r="K328" s="1" t="s">
        <v>36</v>
      </c>
      <c r="L328" s="1" t="s">
        <v>23</v>
      </c>
      <c r="M328" s="1" t="s">
        <v>24</v>
      </c>
      <c r="N328" s="1" t="s">
        <v>25</v>
      </c>
      <c r="O328" s="8">
        <v>6000</v>
      </c>
    </row>
    <row r="329" spans="1:15" ht="15.7" customHeight="1" x14ac:dyDescent="0.3">
      <c r="A329" s="1" t="s">
        <v>690</v>
      </c>
      <c r="B329" s="1" t="s">
        <v>449</v>
      </c>
      <c r="C329" s="1" t="s">
        <v>41</v>
      </c>
      <c r="D329" s="1" t="s">
        <v>18</v>
      </c>
      <c r="E329" s="1" t="s">
        <v>855</v>
      </c>
      <c r="F329" s="1" t="s">
        <v>29</v>
      </c>
      <c r="G329" s="2">
        <v>45481</v>
      </c>
      <c r="H329" s="2">
        <v>45301</v>
      </c>
      <c r="I329" s="1" t="s">
        <v>20</v>
      </c>
      <c r="J329" s="1" t="s">
        <v>21</v>
      </c>
      <c r="K329" s="1" t="s">
        <v>22</v>
      </c>
      <c r="L329" s="1" t="s">
        <v>23</v>
      </c>
      <c r="M329" s="1" t="s">
        <v>24</v>
      </c>
      <c r="N329" s="1" t="s">
        <v>25</v>
      </c>
      <c r="O329" s="8">
        <v>6000</v>
      </c>
    </row>
    <row r="330" spans="1:15" ht="15.7" customHeight="1" x14ac:dyDescent="0.3">
      <c r="A330" s="1" t="s">
        <v>691</v>
      </c>
      <c r="B330" s="1" t="s">
        <v>692</v>
      </c>
      <c r="C330" s="1" t="s">
        <v>41</v>
      </c>
      <c r="D330" s="1" t="s">
        <v>18</v>
      </c>
      <c r="E330" s="1" t="s">
        <v>855</v>
      </c>
      <c r="F330" s="1" t="s">
        <v>29</v>
      </c>
      <c r="G330" s="2">
        <v>45481</v>
      </c>
      <c r="H330" s="2">
        <v>45301</v>
      </c>
      <c r="I330" s="1" t="s">
        <v>20</v>
      </c>
      <c r="J330" s="1" t="s">
        <v>21</v>
      </c>
      <c r="K330" s="1" t="s">
        <v>22</v>
      </c>
      <c r="L330" s="1" t="s">
        <v>23</v>
      </c>
      <c r="M330" s="1" t="s">
        <v>24</v>
      </c>
      <c r="N330" s="1" t="s">
        <v>25</v>
      </c>
      <c r="O330" s="8">
        <v>6000</v>
      </c>
    </row>
    <row r="331" spans="1:15" ht="15.7" customHeight="1" x14ac:dyDescent="0.3">
      <c r="A331" s="1" t="s">
        <v>693</v>
      </c>
      <c r="B331" s="1" t="s">
        <v>694</v>
      </c>
      <c r="C331" s="1" t="s">
        <v>34</v>
      </c>
      <c r="D331" s="1" t="s">
        <v>18</v>
      </c>
      <c r="E331" s="1" t="s">
        <v>855</v>
      </c>
      <c r="F331" s="1" t="s">
        <v>29</v>
      </c>
      <c r="G331" s="2">
        <v>45481</v>
      </c>
      <c r="H331" s="2">
        <v>45301</v>
      </c>
      <c r="I331" s="1" t="s">
        <v>76</v>
      </c>
      <c r="J331" s="1" t="s">
        <v>21</v>
      </c>
      <c r="K331" s="1" t="s">
        <v>110</v>
      </c>
      <c r="L331" s="1" t="s">
        <v>23</v>
      </c>
      <c r="M331" s="1" t="s">
        <v>24</v>
      </c>
      <c r="N331" s="1" t="s">
        <v>25</v>
      </c>
      <c r="O331" s="8">
        <v>6000</v>
      </c>
    </row>
    <row r="332" spans="1:15" ht="15.7" customHeight="1" x14ac:dyDescent="0.3">
      <c r="A332" s="1" t="s">
        <v>695</v>
      </c>
      <c r="B332" s="1" t="s">
        <v>88</v>
      </c>
      <c r="C332" s="1" t="s">
        <v>199</v>
      </c>
      <c r="D332" s="1" t="s">
        <v>164</v>
      </c>
      <c r="E332" s="1" t="s">
        <v>854</v>
      </c>
      <c r="F332" s="1" t="s">
        <v>29</v>
      </c>
      <c r="G332" s="2">
        <v>45482</v>
      </c>
      <c r="H332" s="2">
        <v>45302</v>
      </c>
      <c r="I332" s="1" t="s">
        <v>20</v>
      </c>
      <c r="J332" s="1" t="s">
        <v>35</v>
      </c>
      <c r="K332" s="1" t="s">
        <v>54</v>
      </c>
      <c r="L332" s="1" t="s">
        <v>23</v>
      </c>
      <c r="M332" s="1" t="s">
        <v>24</v>
      </c>
      <c r="N332" s="1" t="s">
        <v>25</v>
      </c>
      <c r="O332" s="8">
        <v>6000</v>
      </c>
    </row>
    <row r="333" spans="1:15" ht="15.7" customHeight="1" x14ac:dyDescent="0.3">
      <c r="A333" s="1" t="s">
        <v>696</v>
      </c>
      <c r="B333" s="1" t="s">
        <v>697</v>
      </c>
      <c r="C333" s="1" t="s">
        <v>17</v>
      </c>
      <c r="D333" s="1" t="s">
        <v>18</v>
      </c>
      <c r="E333" s="1" t="s">
        <v>855</v>
      </c>
      <c r="F333" s="1" t="s">
        <v>29</v>
      </c>
      <c r="G333" s="2">
        <v>45482</v>
      </c>
      <c r="H333" s="2">
        <v>45302</v>
      </c>
      <c r="I333" s="1" t="s">
        <v>20</v>
      </c>
      <c r="J333" s="1" t="s">
        <v>21</v>
      </c>
      <c r="K333" s="1" t="s">
        <v>22</v>
      </c>
      <c r="L333" s="1" t="s">
        <v>185</v>
      </c>
      <c r="M333" s="1" t="s">
        <v>277</v>
      </c>
      <c r="N333" s="1" t="s">
        <v>25</v>
      </c>
      <c r="O333" s="8">
        <v>6000</v>
      </c>
    </row>
    <row r="334" spans="1:15" ht="15.7" customHeight="1" x14ac:dyDescent="0.3">
      <c r="A334" s="1" t="s">
        <v>698</v>
      </c>
      <c r="B334" s="1" t="s">
        <v>699</v>
      </c>
      <c r="C334" s="1" t="s">
        <v>41</v>
      </c>
      <c r="D334" s="1" t="s">
        <v>18</v>
      </c>
      <c r="E334" s="1" t="s">
        <v>855</v>
      </c>
      <c r="F334" s="1" t="s">
        <v>29</v>
      </c>
      <c r="G334" s="2">
        <v>45482</v>
      </c>
      <c r="H334" s="2">
        <v>45302</v>
      </c>
      <c r="I334" s="1" t="s">
        <v>20</v>
      </c>
      <c r="J334" s="1" t="s">
        <v>21</v>
      </c>
      <c r="K334" s="1" t="s">
        <v>22</v>
      </c>
      <c r="L334" s="1" t="s">
        <v>23</v>
      </c>
      <c r="M334" s="1" t="s">
        <v>24</v>
      </c>
      <c r="N334" s="1" t="s">
        <v>25</v>
      </c>
      <c r="O334" s="8">
        <v>6000</v>
      </c>
    </row>
    <row r="335" spans="1:15" ht="15.7" customHeight="1" x14ac:dyDescent="0.3">
      <c r="A335" s="1" t="s">
        <v>700</v>
      </c>
      <c r="B335" s="1" t="s">
        <v>701</v>
      </c>
      <c r="C335" s="1" t="s">
        <v>17</v>
      </c>
      <c r="D335" s="1" t="s">
        <v>18</v>
      </c>
      <c r="E335" s="1" t="s">
        <v>855</v>
      </c>
      <c r="F335" s="1" t="s">
        <v>29</v>
      </c>
      <c r="G335" s="2">
        <v>45482</v>
      </c>
      <c r="H335" s="2">
        <v>45302</v>
      </c>
      <c r="I335" s="1" t="s">
        <v>76</v>
      </c>
      <c r="J335" s="1" t="s">
        <v>35</v>
      </c>
      <c r="K335" s="1" t="s">
        <v>36</v>
      </c>
      <c r="L335" s="1" t="s">
        <v>23</v>
      </c>
      <c r="M335" s="1" t="s">
        <v>24</v>
      </c>
      <c r="N335" s="1" t="s">
        <v>25</v>
      </c>
      <c r="O335" s="8">
        <v>6000</v>
      </c>
    </row>
    <row r="336" spans="1:15" ht="15.7" customHeight="1" x14ac:dyDescent="0.3">
      <c r="A336" s="1" t="s">
        <v>702</v>
      </c>
      <c r="B336" s="1" t="s">
        <v>703</v>
      </c>
      <c r="C336" s="1" t="s">
        <v>34</v>
      </c>
      <c r="D336" s="1" t="s">
        <v>18</v>
      </c>
      <c r="E336" s="1" t="s">
        <v>855</v>
      </c>
      <c r="F336" s="1" t="s">
        <v>29</v>
      </c>
      <c r="G336" s="2">
        <v>45482</v>
      </c>
      <c r="H336" s="2">
        <v>45302</v>
      </c>
      <c r="I336" s="1" t="s">
        <v>76</v>
      </c>
      <c r="J336" s="1" t="s">
        <v>21</v>
      </c>
      <c r="K336" s="1" t="s">
        <v>22</v>
      </c>
      <c r="L336" s="1" t="s">
        <v>185</v>
      </c>
      <c r="M336" s="1" t="s">
        <v>277</v>
      </c>
      <c r="N336" s="1" t="s">
        <v>25</v>
      </c>
      <c r="O336" s="8">
        <v>6000</v>
      </c>
    </row>
    <row r="337" spans="1:15" ht="15.7" customHeight="1" x14ac:dyDescent="0.3">
      <c r="A337" s="1" t="s">
        <v>704</v>
      </c>
      <c r="B337" s="1" t="s">
        <v>705</v>
      </c>
      <c r="C337" s="1" t="s">
        <v>34</v>
      </c>
      <c r="D337" s="1" t="s">
        <v>18</v>
      </c>
      <c r="E337" s="1" t="s">
        <v>855</v>
      </c>
      <c r="F337" s="1" t="s">
        <v>29</v>
      </c>
      <c r="G337" s="2">
        <v>45482</v>
      </c>
      <c r="H337" s="2">
        <v>45302</v>
      </c>
      <c r="I337" s="1" t="s">
        <v>76</v>
      </c>
      <c r="J337" s="1" t="s">
        <v>21</v>
      </c>
      <c r="K337" s="1" t="s">
        <v>30</v>
      </c>
      <c r="L337" s="1" t="s">
        <v>219</v>
      </c>
      <c r="M337" s="1" t="s">
        <v>44</v>
      </c>
      <c r="N337" s="1" t="s">
        <v>25</v>
      </c>
      <c r="O337" s="8">
        <v>6000</v>
      </c>
    </row>
    <row r="338" spans="1:15" ht="15.7" customHeight="1" x14ac:dyDescent="0.3">
      <c r="A338" s="1" t="s">
        <v>706</v>
      </c>
      <c r="B338" s="1" t="s">
        <v>707</v>
      </c>
      <c r="C338" s="1" t="s">
        <v>34</v>
      </c>
      <c r="D338" s="1" t="s">
        <v>18</v>
      </c>
      <c r="E338" s="1" t="s">
        <v>855</v>
      </c>
      <c r="F338" s="1" t="s">
        <v>29</v>
      </c>
      <c r="G338" s="2">
        <v>45483</v>
      </c>
      <c r="H338" s="2">
        <v>45303</v>
      </c>
      <c r="I338" s="1" t="s">
        <v>76</v>
      </c>
      <c r="J338" s="1" t="s">
        <v>21</v>
      </c>
      <c r="K338" s="1" t="s">
        <v>22</v>
      </c>
      <c r="L338" s="1" t="s">
        <v>23</v>
      </c>
      <c r="M338" s="1" t="s">
        <v>24</v>
      </c>
      <c r="N338" s="1" t="s">
        <v>25</v>
      </c>
      <c r="O338" s="8">
        <v>6000</v>
      </c>
    </row>
    <row r="339" spans="1:15" ht="15.7" customHeight="1" x14ac:dyDescent="0.3">
      <c r="A339" s="1" t="s">
        <v>708</v>
      </c>
      <c r="B339" s="1" t="s">
        <v>709</v>
      </c>
      <c r="C339" s="1" t="s">
        <v>34</v>
      </c>
      <c r="D339" s="1" t="s">
        <v>18</v>
      </c>
      <c r="E339" s="1" t="s">
        <v>855</v>
      </c>
      <c r="F339" s="1" t="s">
        <v>29</v>
      </c>
      <c r="G339" s="2">
        <v>45483</v>
      </c>
      <c r="H339" s="2">
        <v>45303</v>
      </c>
      <c r="I339" s="1" t="s">
        <v>20</v>
      </c>
      <c r="J339" s="1" t="s">
        <v>21</v>
      </c>
      <c r="K339" s="1" t="s">
        <v>30</v>
      </c>
      <c r="L339" s="1" t="s">
        <v>23</v>
      </c>
      <c r="M339" s="1" t="s">
        <v>24</v>
      </c>
      <c r="N339" s="1" t="s">
        <v>25</v>
      </c>
      <c r="O339" s="8">
        <v>6000</v>
      </c>
    </row>
    <row r="340" spans="1:15" ht="15.7" customHeight="1" x14ac:dyDescent="0.3">
      <c r="A340" s="1" t="s">
        <v>710</v>
      </c>
      <c r="B340" s="1" t="s">
        <v>711</v>
      </c>
      <c r="C340" s="1" t="s">
        <v>199</v>
      </c>
      <c r="D340" s="1" t="s">
        <v>193</v>
      </c>
      <c r="E340" s="1" t="s">
        <v>855</v>
      </c>
      <c r="F340" s="1" t="s">
        <v>29</v>
      </c>
      <c r="G340" s="2">
        <v>45483</v>
      </c>
      <c r="H340" s="2">
        <v>45303</v>
      </c>
      <c r="I340" s="1" t="s">
        <v>20</v>
      </c>
      <c r="J340" s="1" t="s">
        <v>21</v>
      </c>
      <c r="K340" s="1" t="s">
        <v>36</v>
      </c>
      <c r="L340" s="1" t="s">
        <v>23</v>
      </c>
      <c r="M340" s="1" t="s">
        <v>24</v>
      </c>
      <c r="N340" s="1" t="s">
        <v>25</v>
      </c>
      <c r="O340" s="8">
        <v>6000</v>
      </c>
    </row>
    <row r="341" spans="1:15" ht="15.7" customHeight="1" x14ac:dyDescent="0.3">
      <c r="A341" s="1" t="s">
        <v>712</v>
      </c>
      <c r="B341" s="1" t="s">
        <v>713</v>
      </c>
      <c r="C341" s="1" t="s">
        <v>41</v>
      </c>
      <c r="D341" s="1" t="s">
        <v>18</v>
      </c>
      <c r="E341" s="1" t="s">
        <v>855</v>
      </c>
      <c r="F341" s="1" t="s">
        <v>29</v>
      </c>
      <c r="G341" s="2">
        <v>45483</v>
      </c>
      <c r="H341" s="2">
        <v>45303</v>
      </c>
      <c r="I341" s="1" t="s">
        <v>20</v>
      </c>
      <c r="J341" s="1" t="s">
        <v>21</v>
      </c>
      <c r="K341" s="1" t="s">
        <v>30</v>
      </c>
      <c r="L341" s="1" t="s">
        <v>23</v>
      </c>
      <c r="M341" s="1" t="s">
        <v>24</v>
      </c>
      <c r="N341" s="1" t="s">
        <v>25</v>
      </c>
      <c r="O341" s="8">
        <v>6000</v>
      </c>
    </row>
    <row r="342" spans="1:15" ht="15.7" customHeight="1" x14ac:dyDescent="0.3">
      <c r="A342" s="1" t="s">
        <v>714</v>
      </c>
      <c r="B342" s="1" t="s">
        <v>715</v>
      </c>
      <c r="C342" s="1" t="s">
        <v>17</v>
      </c>
      <c r="D342" s="1" t="s">
        <v>18</v>
      </c>
      <c r="E342" s="1" t="s">
        <v>855</v>
      </c>
      <c r="F342" s="1" t="s">
        <v>29</v>
      </c>
      <c r="G342" s="2">
        <v>45484</v>
      </c>
      <c r="H342" s="2">
        <v>45304</v>
      </c>
      <c r="I342" s="1" t="s">
        <v>76</v>
      </c>
      <c r="J342" s="1" t="s">
        <v>21</v>
      </c>
      <c r="K342" s="1" t="s">
        <v>22</v>
      </c>
      <c r="L342" s="1" t="s">
        <v>23</v>
      </c>
      <c r="M342" s="1" t="s">
        <v>24</v>
      </c>
      <c r="N342" s="1" t="s">
        <v>25</v>
      </c>
      <c r="O342" s="8">
        <v>6000</v>
      </c>
    </row>
    <row r="343" spans="1:15" ht="15.7" customHeight="1" x14ac:dyDescent="0.3">
      <c r="A343" s="1" t="s">
        <v>716</v>
      </c>
      <c r="B343" s="1" t="s">
        <v>717</v>
      </c>
      <c r="C343" s="1" t="s">
        <v>17</v>
      </c>
      <c r="D343" s="1" t="s">
        <v>18</v>
      </c>
      <c r="E343" s="1" t="s">
        <v>855</v>
      </c>
      <c r="F343" s="1" t="s">
        <v>29</v>
      </c>
      <c r="G343" s="2">
        <v>45484</v>
      </c>
      <c r="H343" s="2">
        <v>45304</v>
      </c>
      <c r="I343" s="1" t="s">
        <v>20</v>
      </c>
      <c r="J343" s="1" t="s">
        <v>21</v>
      </c>
      <c r="K343" s="1" t="s">
        <v>30</v>
      </c>
      <c r="L343" s="1" t="s">
        <v>23</v>
      </c>
      <c r="M343" s="1" t="s">
        <v>24</v>
      </c>
      <c r="N343" s="1" t="s">
        <v>25</v>
      </c>
      <c r="O343" s="8">
        <v>6000</v>
      </c>
    </row>
    <row r="344" spans="1:15" ht="15.7" customHeight="1" x14ac:dyDescent="0.3">
      <c r="A344" s="1" t="s">
        <v>718</v>
      </c>
      <c r="B344" s="1" t="s">
        <v>719</v>
      </c>
      <c r="C344" s="1" t="s">
        <v>199</v>
      </c>
      <c r="D344" s="1" t="s">
        <v>18</v>
      </c>
      <c r="E344" s="1" t="s">
        <v>855</v>
      </c>
      <c r="F344" s="1" t="s">
        <v>29</v>
      </c>
      <c r="G344" s="2">
        <v>45484</v>
      </c>
      <c r="H344" s="2">
        <v>45304</v>
      </c>
      <c r="I344" s="1" t="s">
        <v>20</v>
      </c>
      <c r="J344" s="1" t="s">
        <v>21</v>
      </c>
      <c r="K344" s="1" t="s">
        <v>36</v>
      </c>
      <c r="L344" s="1" t="s">
        <v>23</v>
      </c>
      <c r="M344" s="1" t="s">
        <v>24</v>
      </c>
      <c r="N344" s="1" t="s">
        <v>25</v>
      </c>
      <c r="O344" s="8">
        <v>6000</v>
      </c>
    </row>
    <row r="345" spans="1:15" ht="15.7" customHeight="1" x14ac:dyDescent="0.3">
      <c r="A345" s="1" t="s">
        <v>720</v>
      </c>
      <c r="B345" s="1" t="s">
        <v>721</v>
      </c>
      <c r="C345" s="1" t="s">
        <v>41</v>
      </c>
      <c r="D345" s="1" t="s">
        <v>18</v>
      </c>
      <c r="E345" s="1" t="s">
        <v>855</v>
      </c>
      <c r="F345" s="1" t="s">
        <v>29</v>
      </c>
      <c r="G345" s="2">
        <v>45484</v>
      </c>
      <c r="H345" s="2">
        <v>45304</v>
      </c>
      <c r="I345" s="1" t="s">
        <v>20</v>
      </c>
      <c r="J345" s="1" t="s">
        <v>21</v>
      </c>
      <c r="K345" s="1" t="s">
        <v>22</v>
      </c>
      <c r="L345" s="1" t="s">
        <v>23</v>
      </c>
      <c r="M345" s="1" t="s">
        <v>24</v>
      </c>
      <c r="N345" s="1" t="s">
        <v>25</v>
      </c>
      <c r="O345" s="8">
        <v>6000</v>
      </c>
    </row>
    <row r="346" spans="1:15" ht="15.7" customHeight="1" x14ac:dyDescent="0.3">
      <c r="A346" s="1" t="s">
        <v>722</v>
      </c>
      <c r="B346" s="1" t="s">
        <v>723</v>
      </c>
      <c r="C346" s="1" t="s">
        <v>34</v>
      </c>
      <c r="D346" s="1" t="s">
        <v>18</v>
      </c>
      <c r="E346" s="1" t="s">
        <v>855</v>
      </c>
      <c r="F346" s="1" t="s">
        <v>29</v>
      </c>
      <c r="G346" s="2">
        <v>45484</v>
      </c>
      <c r="H346" s="2">
        <v>45304</v>
      </c>
      <c r="I346" s="1" t="s">
        <v>20</v>
      </c>
      <c r="J346" s="1" t="s">
        <v>21</v>
      </c>
      <c r="K346" s="1" t="s">
        <v>36</v>
      </c>
      <c r="L346" s="1" t="s">
        <v>219</v>
      </c>
      <c r="M346" s="1" t="s">
        <v>44</v>
      </c>
      <c r="N346" s="1" t="s">
        <v>25</v>
      </c>
      <c r="O346" s="8">
        <v>6000</v>
      </c>
    </row>
    <row r="347" spans="1:15" ht="15.7" customHeight="1" x14ac:dyDescent="0.3">
      <c r="A347" s="1" t="s">
        <v>724</v>
      </c>
      <c r="B347" s="1" t="s">
        <v>725</v>
      </c>
      <c r="C347" s="1" t="s">
        <v>41</v>
      </c>
      <c r="D347" s="1" t="s">
        <v>18</v>
      </c>
      <c r="E347" s="1" t="s">
        <v>855</v>
      </c>
      <c r="F347" s="1" t="s">
        <v>29</v>
      </c>
      <c r="G347" s="2">
        <v>45484</v>
      </c>
      <c r="H347" s="2">
        <v>45304</v>
      </c>
      <c r="I347" s="1" t="s">
        <v>20</v>
      </c>
      <c r="J347" s="1" t="s">
        <v>21</v>
      </c>
      <c r="K347" s="1" t="s">
        <v>36</v>
      </c>
      <c r="L347" s="1" t="s">
        <v>114</v>
      </c>
      <c r="M347" s="1" t="s">
        <v>24</v>
      </c>
      <c r="N347" s="1" t="s">
        <v>25</v>
      </c>
      <c r="O347" s="8">
        <v>6000</v>
      </c>
    </row>
    <row r="348" spans="1:15" ht="15.7" customHeight="1" x14ac:dyDescent="0.3">
      <c r="A348" s="1" t="s">
        <v>726</v>
      </c>
      <c r="B348" s="1" t="s">
        <v>727</v>
      </c>
      <c r="C348" s="1" t="s">
        <v>34</v>
      </c>
      <c r="D348" s="1" t="s">
        <v>18</v>
      </c>
      <c r="E348" s="1" t="s">
        <v>855</v>
      </c>
      <c r="F348" s="1" t="s">
        <v>29</v>
      </c>
      <c r="G348" s="2">
        <v>45484</v>
      </c>
      <c r="H348" s="2">
        <v>45304</v>
      </c>
      <c r="I348" s="1" t="s">
        <v>20</v>
      </c>
      <c r="J348" s="1" t="s">
        <v>21</v>
      </c>
      <c r="K348" s="1" t="s">
        <v>36</v>
      </c>
      <c r="L348" s="1" t="s">
        <v>276</v>
      </c>
      <c r="M348" s="1" t="s">
        <v>277</v>
      </c>
      <c r="N348" s="1" t="s">
        <v>25</v>
      </c>
      <c r="O348" s="8">
        <v>6000</v>
      </c>
    </row>
    <row r="349" spans="1:15" ht="15.7" customHeight="1" x14ac:dyDescent="0.3">
      <c r="A349" s="1" t="s">
        <v>728</v>
      </c>
      <c r="B349" s="1" t="s">
        <v>729</v>
      </c>
      <c r="C349" s="1" t="s">
        <v>34</v>
      </c>
      <c r="D349" s="1" t="s">
        <v>18</v>
      </c>
      <c r="E349" s="1" t="s">
        <v>855</v>
      </c>
      <c r="F349" s="1" t="s">
        <v>29</v>
      </c>
      <c r="G349" s="2">
        <v>45485</v>
      </c>
      <c r="H349" s="2">
        <v>45305</v>
      </c>
      <c r="I349" s="1" t="s">
        <v>20</v>
      </c>
      <c r="J349" s="1" t="s">
        <v>21</v>
      </c>
      <c r="K349" s="1" t="s">
        <v>22</v>
      </c>
      <c r="L349" s="1" t="s">
        <v>167</v>
      </c>
      <c r="M349" s="1" t="s">
        <v>857</v>
      </c>
      <c r="N349" s="1" t="s">
        <v>25</v>
      </c>
      <c r="O349" s="8">
        <v>6000</v>
      </c>
    </row>
    <row r="350" spans="1:15" ht="15.7" customHeight="1" x14ac:dyDescent="0.3">
      <c r="A350" s="1" t="s">
        <v>730</v>
      </c>
      <c r="B350" s="1" t="s">
        <v>731</v>
      </c>
      <c r="C350" s="1" t="s">
        <v>34</v>
      </c>
      <c r="D350" s="1" t="s">
        <v>18</v>
      </c>
      <c r="E350" s="1" t="s">
        <v>855</v>
      </c>
      <c r="F350" s="1" t="s">
        <v>29</v>
      </c>
      <c r="G350" s="2">
        <v>45487</v>
      </c>
      <c r="H350" s="2">
        <v>45307</v>
      </c>
      <c r="I350" s="1" t="s">
        <v>76</v>
      </c>
      <c r="J350" s="1" t="s">
        <v>35</v>
      </c>
      <c r="K350" s="1" t="s">
        <v>22</v>
      </c>
      <c r="L350" s="1" t="s">
        <v>23</v>
      </c>
      <c r="M350" s="1" t="s">
        <v>24</v>
      </c>
      <c r="N350" s="1" t="s">
        <v>25</v>
      </c>
      <c r="O350" s="8">
        <v>6000</v>
      </c>
    </row>
    <row r="351" spans="1:15" ht="15.7" customHeight="1" x14ac:dyDescent="0.3">
      <c r="A351" s="1" t="s">
        <v>732</v>
      </c>
      <c r="B351" s="1" t="s">
        <v>733</v>
      </c>
      <c r="C351" s="1" t="s">
        <v>34</v>
      </c>
      <c r="D351" s="1" t="s">
        <v>18</v>
      </c>
      <c r="E351" s="1" t="s">
        <v>855</v>
      </c>
      <c r="F351" s="1" t="s">
        <v>29</v>
      </c>
      <c r="G351" s="2">
        <v>45488</v>
      </c>
      <c r="H351" s="2">
        <v>45308</v>
      </c>
      <c r="I351" s="1" t="s">
        <v>76</v>
      </c>
      <c r="J351" s="1" t="s">
        <v>21</v>
      </c>
      <c r="K351" s="1" t="s">
        <v>54</v>
      </c>
      <c r="L351" s="1" t="s">
        <v>214</v>
      </c>
      <c r="M351" s="1" t="s">
        <v>24</v>
      </c>
      <c r="N351" s="1" t="s">
        <v>25</v>
      </c>
      <c r="O351" s="8">
        <v>6000</v>
      </c>
    </row>
    <row r="352" spans="1:15" ht="15.7" customHeight="1" x14ac:dyDescent="0.3">
      <c r="A352" s="1" t="s">
        <v>734</v>
      </c>
      <c r="B352" s="1" t="s">
        <v>735</v>
      </c>
      <c r="C352" s="1" t="s">
        <v>199</v>
      </c>
      <c r="D352" s="1" t="s">
        <v>18</v>
      </c>
      <c r="E352" s="1" t="s">
        <v>855</v>
      </c>
      <c r="F352" s="1" t="s">
        <v>29</v>
      </c>
      <c r="G352" s="2">
        <v>45488</v>
      </c>
      <c r="H352" s="2">
        <v>45308</v>
      </c>
      <c r="I352" s="1" t="s">
        <v>20</v>
      </c>
      <c r="J352" s="1" t="s">
        <v>21</v>
      </c>
      <c r="K352" s="1" t="s">
        <v>22</v>
      </c>
      <c r="L352" s="1" t="s">
        <v>23</v>
      </c>
      <c r="M352" s="1" t="s">
        <v>24</v>
      </c>
      <c r="N352" s="1" t="s">
        <v>25</v>
      </c>
      <c r="O352" s="8">
        <v>6000</v>
      </c>
    </row>
    <row r="353" spans="1:15" ht="15.7" customHeight="1" x14ac:dyDescent="0.3">
      <c r="A353" s="1" t="s">
        <v>736</v>
      </c>
      <c r="B353" s="1" t="s">
        <v>737</v>
      </c>
      <c r="C353" s="1" t="s">
        <v>41</v>
      </c>
      <c r="D353" s="1" t="s">
        <v>18</v>
      </c>
      <c r="E353" s="1" t="s">
        <v>855</v>
      </c>
      <c r="F353" s="1" t="s">
        <v>29</v>
      </c>
      <c r="G353" s="2">
        <v>45488</v>
      </c>
      <c r="H353" s="2">
        <v>45308</v>
      </c>
      <c r="I353" s="1" t="s">
        <v>20</v>
      </c>
      <c r="J353" s="1" t="s">
        <v>21</v>
      </c>
      <c r="K353" s="1" t="s">
        <v>110</v>
      </c>
      <c r="L353" s="1" t="s">
        <v>214</v>
      </c>
      <c r="M353" s="1" t="s">
        <v>24</v>
      </c>
      <c r="N353" s="1" t="s">
        <v>25</v>
      </c>
      <c r="O353" s="8">
        <v>6000</v>
      </c>
    </row>
    <row r="354" spans="1:15" ht="15.7" customHeight="1" x14ac:dyDescent="0.3">
      <c r="A354" s="1" t="s">
        <v>738</v>
      </c>
      <c r="B354" s="1" t="s">
        <v>739</v>
      </c>
      <c r="C354" s="1" t="s">
        <v>17</v>
      </c>
      <c r="D354" s="1" t="s">
        <v>18</v>
      </c>
      <c r="E354" s="1" t="s">
        <v>855</v>
      </c>
      <c r="F354" s="1" t="s">
        <v>29</v>
      </c>
      <c r="G354" s="2">
        <v>45488</v>
      </c>
      <c r="H354" s="2">
        <v>45308</v>
      </c>
      <c r="I354" s="1" t="s">
        <v>20</v>
      </c>
      <c r="J354" s="1" t="s">
        <v>21</v>
      </c>
      <c r="K354" s="1" t="s">
        <v>36</v>
      </c>
      <c r="L354" s="1" t="s">
        <v>214</v>
      </c>
      <c r="M354" s="1" t="s">
        <v>24</v>
      </c>
      <c r="N354" s="1" t="s">
        <v>25</v>
      </c>
      <c r="O354" s="8">
        <v>6000</v>
      </c>
    </row>
    <row r="355" spans="1:15" ht="15.7" customHeight="1" x14ac:dyDescent="0.3">
      <c r="A355" s="1" t="s">
        <v>740</v>
      </c>
      <c r="B355" s="1" t="s">
        <v>741</v>
      </c>
      <c r="C355" s="1" t="s">
        <v>17</v>
      </c>
      <c r="D355" s="1" t="s">
        <v>18</v>
      </c>
      <c r="E355" s="1" t="s">
        <v>855</v>
      </c>
      <c r="F355" s="1" t="s">
        <v>29</v>
      </c>
      <c r="G355" s="2">
        <v>45488</v>
      </c>
      <c r="H355" s="2">
        <v>45308</v>
      </c>
      <c r="I355" s="1" t="s">
        <v>20</v>
      </c>
      <c r="J355" s="1" t="s">
        <v>21</v>
      </c>
      <c r="K355" s="1" t="s">
        <v>30</v>
      </c>
      <c r="L355" s="1" t="s">
        <v>91</v>
      </c>
      <c r="M355" s="1" t="s">
        <v>44</v>
      </c>
      <c r="N355" s="1" t="s">
        <v>25</v>
      </c>
      <c r="O355" s="8">
        <v>6000</v>
      </c>
    </row>
    <row r="356" spans="1:15" ht="15.7" customHeight="1" x14ac:dyDescent="0.3">
      <c r="A356" s="1" t="s">
        <v>742</v>
      </c>
      <c r="B356" s="1" t="s">
        <v>743</v>
      </c>
      <c r="C356" s="1" t="s">
        <v>199</v>
      </c>
      <c r="D356" s="1" t="s">
        <v>18</v>
      </c>
      <c r="E356" s="1" t="s">
        <v>855</v>
      </c>
      <c r="F356" s="1" t="s">
        <v>29</v>
      </c>
      <c r="G356" s="2">
        <v>45491</v>
      </c>
      <c r="H356" s="2">
        <v>45311</v>
      </c>
      <c r="I356" s="1" t="s">
        <v>20</v>
      </c>
      <c r="J356" s="1" t="s">
        <v>35</v>
      </c>
      <c r="K356" s="1" t="s">
        <v>68</v>
      </c>
      <c r="L356" s="1" t="s">
        <v>23</v>
      </c>
      <c r="M356" s="1" t="s">
        <v>24</v>
      </c>
      <c r="N356" s="1" t="s">
        <v>25</v>
      </c>
      <c r="O356" s="8">
        <v>6000</v>
      </c>
    </row>
    <row r="357" spans="1:15" ht="15.7" customHeight="1" x14ac:dyDescent="0.3">
      <c r="A357" s="1" t="s">
        <v>744</v>
      </c>
      <c r="B357" s="1" t="s">
        <v>745</v>
      </c>
      <c r="C357" s="1" t="s">
        <v>41</v>
      </c>
      <c r="D357" s="1" t="s">
        <v>18</v>
      </c>
      <c r="E357" s="1" t="s">
        <v>855</v>
      </c>
      <c r="F357" s="1" t="s">
        <v>29</v>
      </c>
      <c r="G357" s="2">
        <v>45492</v>
      </c>
      <c r="H357" s="2">
        <v>45312</v>
      </c>
      <c r="I357" s="1" t="s">
        <v>20</v>
      </c>
      <c r="J357" s="1" t="s">
        <v>21</v>
      </c>
      <c r="K357" s="1" t="s">
        <v>36</v>
      </c>
      <c r="L357" s="1" t="s">
        <v>23</v>
      </c>
      <c r="M357" s="1" t="s">
        <v>24</v>
      </c>
      <c r="N357" s="1" t="s">
        <v>25</v>
      </c>
      <c r="O357" s="8">
        <v>6000</v>
      </c>
    </row>
    <row r="358" spans="1:15" ht="15.7" customHeight="1" x14ac:dyDescent="0.3">
      <c r="A358" s="1" t="s">
        <v>746</v>
      </c>
      <c r="B358" s="1" t="s">
        <v>149</v>
      </c>
      <c r="C358" s="1" t="s">
        <v>34</v>
      </c>
      <c r="D358" s="1" t="s">
        <v>18</v>
      </c>
      <c r="E358" s="1" t="s">
        <v>855</v>
      </c>
      <c r="F358" s="1" t="s">
        <v>29</v>
      </c>
      <c r="G358" s="2">
        <v>45492</v>
      </c>
      <c r="H358" s="2">
        <v>45312</v>
      </c>
      <c r="I358" s="1" t="s">
        <v>20</v>
      </c>
      <c r="J358" s="1" t="s">
        <v>21</v>
      </c>
      <c r="K358" s="1" t="s">
        <v>36</v>
      </c>
      <c r="L358" s="1" t="s">
        <v>23</v>
      </c>
      <c r="M358" s="1" t="s">
        <v>24</v>
      </c>
      <c r="N358" s="1" t="s">
        <v>25</v>
      </c>
      <c r="O358" s="8">
        <v>6000</v>
      </c>
    </row>
    <row r="359" spans="1:15" ht="15.7" customHeight="1" x14ac:dyDescent="0.3">
      <c r="A359" s="1" t="s">
        <v>747</v>
      </c>
      <c r="B359" s="1" t="s">
        <v>748</v>
      </c>
      <c r="C359" s="1" t="s">
        <v>41</v>
      </c>
      <c r="D359" s="1" t="s">
        <v>18</v>
      </c>
      <c r="E359" s="1" t="s">
        <v>855</v>
      </c>
      <c r="F359" s="1" t="s">
        <v>29</v>
      </c>
      <c r="G359" s="2">
        <v>45492</v>
      </c>
      <c r="H359" s="2">
        <v>45312</v>
      </c>
      <c r="I359" s="1" t="s">
        <v>76</v>
      </c>
      <c r="J359" s="1" t="s">
        <v>21</v>
      </c>
      <c r="K359" s="1" t="s">
        <v>36</v>
      </c>
      <c r="L359" s="1" t="s">
        <v>214</v>
      </c>
      <c r="M359" s="1" t="s">
        <v>24</v>
      </c>
      <c r="N359" s="1" t="s">
        <v>25</v>
      </c>
      <c r="O359" s="8">
        <v>6000</v>
      </c>
    </row>
    <row r="360" spans="1:15" ht="15.7" customHeight="1" x14ac:dyDescent="0.3">
      <c r="A360" s="1" t="s">
        <v>749</v>
      </c>
      <c r="B360" s="1" t="s">
        <v>750</v>
      </c>
      <c r="C360" s="1" t="s">
        <v>17</v>
      </c>
      <c r="D360" s="1" t="s">
        <v>18</v>
      </c>
      <c r="E360" s="1" t="s">
        <v>855</v>
      </c>
      <c r="F360" s="1" t="s">
        <v>29</v>
      </c>
      <c r="G360" s="2">
        <v>45494</v>
      </c>
      <c r="H360" s="2">
        <v>45314</v>
      </c>
      <c r="I360" s="1" t="s">
        <v>76</v>
      </c>
      <c r="J360" s="1" t="s">
        <v>21</v>
      </c>
      <c r="K360" s="1" t="s">
        <v>110</v>
      </c>
      <c r="L360" s="1" t="s">
        <v>214</v>
      </c>
      <c r="M360" s="1" t="s">
        <v>24</v>
      </c>
      <c r="N360" s="1" t="s">
        <v>25</v>
      </c>
      <c r="O360" s="8">
        <v>6000</v>
      </c>
    </row>
    <row r="361" spans="1:15" ht="15.7" customHeight="1" x14ac:dyDescent="0.3">
      <c r="A361" s="1" t="s">
        <v>751</v>
      </c>
      <c r="B361" s="1" t="s">
        <v>752</v>
      </c>
      <c r="C361" s="1" t="s">
        <v>41</v>
      </c>
      <c r="D361" s="1" t="s">
        <v>18</v>
      </c>
      <c r="E361" s="1" t="s">
        <v>855</v>
      </c>
      <c r="F361" s="1" t="s">
        <v>29</v>
      </c>
      <c r="G361" s="2">
        <v>45494</v>
      </c>
      <c r="H361" s="2">
        <v>45314</v>
      </c>
      <c r="I361" s="1" t="s">
        <v>20</v>
      </c>
      <c r="J361" s="1" t="s">
        <v>21</v>
      </c>
      <c r="K361" s="1" t="s">
        <v>30</v>
      </c>
      <c r="L361" s="1" t="s">
        <v>23</v>
      </c>
      <c r="M361" s="1" t="s">
        <v>24</v>
      </c>
      <c r="N361" s="1" t="s">
        <v>25</v>
      </c>
      <c r="O361" s="8">
        <v>6000</v>
      </c>
    </row>
    <row r="362" spans="1:15" ht="15.7" customHeight="1" x14ac:dyDescent="0.3">
      <c r="A362" s="1" t="s">
        <v>753</v>
      </c>
      <c r="B362" s="1" t="s">
        <v>754</v>
      </c>
      <c r="C362" s="1" t="s">
        <v>199</v>
      </c>
      <c r="D362" s="1" t="s">
        <v>18</v>
      </c>
      <c r="E362" s="1" t="s">
        <v>855</v>
      </c>
      <c r="F362" s="1" t="s">
        <v>29</v>
      </c>
      <c r="G362" s="2">
        <v>45496</v>
      </c>
      <c r="H362" s="2">
        <v>45316</v>
      </c>
      <c r="I362" s="1" t="s">
        <v>20</v>
      </c>
      <c r="J362" s="1" t="s">
        <v>21</v>
      </c>
      <c r="K362" s="1" t="s">
        <v>22</v>
      </c>
      <c r="L362" s="1" t="s">
        <v>23</v>
      </c>
      <c r="M362" s="1" t="s">
        <v>24</v>
      </c>
      <c r="N362" s="1" t="s">
        <v>25</v>
      </c>
      <c r="O362" s="8">
        <v>6000</v>
      </c>
    </row>
    <row r="363" spans="1:15" ht="15.7" customHeight="1" x14ac:dyDescent="0.3">
      <c r="A363" s="1" t="s">
        <v>755</v>
      </c>
      <c r="B363" s="1" t="s">
        <v>756</v>
      </c>
      <c r="C363" s="1" t="s">
        <v>34</v>
      </c>
      <c r="D363" s="1" t="s">
        <v>18</v>
      </c>
      <c r="E363" s="1" t="s">
        <v>855</v>
      </c>
      <c r="F363" s="1" t="s">
        <v>29</v>
      </c>
      <c r="G363" s="2">
        <v>45496</v>
      </c>
      <c r="H363" s="2">
        <v>45316</v>
      </c>
      <c r="I363" s="1" t="s">
        <v>76</v>
      </c>
      <c r="J363" s="1" t="s">
        <v>21</v>
      </c>
      <c r="K363" s="1" t="s">
        <v>22</v>
      </c>
      <c r="L363" s="1" t="s">
        <v>23</v>
      </c>
      <c r="M363" s="1" t="s">
        <v>24</v>
      </c>
      <c r="N363" s="1" t="s">
        <v>25</v>
      </c>
      <c r="O363" s="8">
        <v>6000</v>
      </c>
    </row>
    <row r="364" spans="1:15" ht="15.7" customHeight="1" x14ac:dyDescent="0.3">
      <c r="A364" s="1" t="s">
        <v>757</v>
      </c>
      <c r="B364" s="1" t="s">
        <v>758</v>
      </c>
      <c r="C364" s="1" t="s">
        <v>17</v>
      </c>
      <c r="D364" s="1" t="s">
        <v>18</v>
      </c>
      <c r="E364" s="1" t="s">
        <v>855</v>
      </c>
      <c r="F364" s="1" t="s">
        <v>29</v>
      </c>
      <c r="G364" s="2">
        <v>45499</v>
      </c>
      <c r="H364" s="2">
        <v>45319</v>
      </c>
      <c r="I364" s="1" t="s">
        <v>76</v>
      </c>
      <c r="J364" s="1" t="s">
        <v>35</v>
      </c>
      <c r="K364" s="1" t="s">
        <v>54</v>
      </c>
      <c r="L364" s="1" t="s">
        <v>23</v>
      </c>
      <c r="M364" s="1" t="s">
        <v>24</v>
      </c>
      <c r="N364" s="1" t="s">
        <v>25</v>
      </c>
      <c r="O364" s="8">
        <v>6000</v>
      </c>
    </row>
    <row r="365" spans="1:15" ht="15.7" customHeight="1" x14ac:dyDescent="0.3">
      <c r="A365" s="1" t="s">
        <v>759</v>
      </c>
      <c r="B365" s="1" t="s">
        <v>760</v>
      </c>
      <c r="C365" s="1" t="s">
        <v>41</v>
      </c>
      <c r="D365" s="1" t="s">
        <v>18</v>
      </c>
      <c r="E365" s="1" t="s">
        <v>855</v>
      </c>
      <c r="F365" s="1" t="s">
        <v>29</v>
      </c>
      <c r="G365" s="2">
        <v>45503</v>
      </c>
      <c r="H365" s="2">
        <v>45323</v>
      </c>
      <c r="I365" s="1" t="s">
        <v>20</v>
      </c>
      <c r="J365" s="1" t="s">
        <v>21</v>
      </c>
      <c r="K365" s="1" t="s">
        <v>30</v>
      </c>
      <c r="L365" s="1" t="s">
        <v>23</v>
      </c>
      <c r="M365" s="1" t="s">
        <v>24</v>
      </c>
      <c r="N365" s="1" t="s">
        <v>25</v>
      </c>
      <c r="O365" s="8">
        <v>6000</v>
      </c>
    </row>
    <row r="366" spans="1:15" ht="15.7" customHeight="1" x14ac:dyDescent="0.3">
      <c r="A366" s="1" t="s">
        <v>761</v>
      </c>
      <c r="B366" s="1" t="s">
        <v>762</v>
      </c>
      <c r="C366" s="1" t="s">
        <v>41</v>
      </c>
      <c r="D366" s="1" t="s">
        <v>18</v>
      </c>
      <c r="E366" s="1" t="s">
        <v>855</v>
      </c>
      <c r="F366" s="1" t="s">
        <v>29</v>
      </c>
      <c r="G366" s="2">
        <v>45505</v>
      </c>
      <c r="H366" s="2">
        <v>45325</v>
      </c>
      <c r="I366" s="1" t="s">
        <v>20</v>
      </c>
      <c r="J366" s="1" t="s">
        <v>21</v>
      </c>
      <c r="K366" s="1" t="s">
        <v>36</v>
      </c>
      <c r="L366" s="1" t="s">
        <v>23</v>
      </c>
      <c r="M366" s="1" t="s">
        <v>24</v>
      </c>
      <c r="N366" s="1" t="s">
        <v>25</v>
      </c>
      <c r="O366" s="8">
        <v>6000</v>
      </c>
    </row>
    <row r="367" spans="1:15" ht="15.7" customHeight="1" x14ac:dyDescent="0.3">
      <c r="A367" s="1" t="s">
        <v>763</v>
      </c>
      <c r="B367" s="1" t="s">
        <v>764</v>
      </c>
      <c r="C367" s="1" t="s">
        <v>17</v>
      </c>
      <c r="D367" s="1" t="s">
        <v>18</v>
      </c>
      <c r="E367" s="1" t="s">
        <v>855</v>
      </c>
      <c r="F367" s="1" t="s">
        <v>29</v>
      </c>
      <c r="G367" s="2">
        <v>45506</v>
      </c>
      <c r="H367" s="2">
        <v>45326</v>
      </c>
      <c r="I367" s="1" t="s">
        <v>76</v>
      </c>
      <c r="J367" s="1" t="s">
        <v>21</v>
      </c>
      <c r="K367" s="1" t="s">
        <v>30</v>
      </c>
      <c r="L367" s="1" t="s">
        <v>214</v>
      </c>
      <c r="M367" s="1" t="s">
        <v>24</v>
      </c>
      <c r="N367" s="1" t="s">
        <v>25</v>
      </c>
      <c r="O367" s="8">
        <v>6000</v>
      </c>
    </row>
    <row r="368" spans="1:15" ht="15.7" customHeight="1" x14ac:dyDescent="0.3">
      <c r="A368" s="1" t="s">
        <v>765</v>
      </c>
      <c r="B368" s="1" t="s">
        <v>766</v>
      </c>
      <c r="C368" s="1" t="s">
        <v>17</v>
      </c>
      <c r="D368" s="1" t="s">
        <v>18</v>
      </c>
      <c r="E368" s="1" t="s">
        <v>855</v>
      </c>
      <c r="F368" s="1" t="s">
        <v>29</v>
      </c>
      <c r="G368" s="2">
        <v>45506</v>
      </c>
      <c r="H368" s="2">
        <v>45326</v>
      </c>
      <c r="I368" s="1" t="s">
        <v>76</v>
      </c>
      <c r="J368" s="1" t="s">
        <v>35</v>
      </c>
      <c r="K368" s="1" t="s">
        <v>22</v>
      </c>
      <c r="L368" s="1" t="s">
        <v>119</v>
      </c>
      <c r="M368" s="1" t="s">
        <v>44</v>
      </c>
      <c r="N368" s="1" t="s">
        <v>25</v>
      </c>
      <c r="O368" s="8">
        <v>6000</v>
      </c>
    </row>
    <row r="369" spans="1:15" ht="15.7" customHeight="1" x14ac:dyDescent="0.3">
      <c r="A369" s="1" t="s">
        <v>767</v>
      </c>
      <c r="B369" s="1" t="s">
        <v>768</v>
      </c>
      <c r="C369" s="1" t="s">
        <v>17</v>
      </c>
      <c r="D369" s="1" t="s">
        <v>18</v>
      </c>
      <c r="E369" s="1" t="s">
        <v>855</v>
      </c>
      <c r="F369" s="1" t="s">
        <v>29</v>
      </c>
      <c r="G369" s="2">
        <v>45506</v>
      </c>
      <c r="H369" s="2">
        <v>45326</v>
      </c>
      <c r="I369" s="1" t="s">
        <v>76</v>
      </c>
      <c r="J369" s="1" t="s">
        <v>21</v>
      </c>
      <c r="K369" s="1" t="s">
        <v>22</v>
      </c>
      <c r="L369" s="1" t="s">
        <v>214</v>
      </c>
      <c r="M369" s="1" t="s">
        <v>24</v>
      </c>
      <c r="N369" s="1" t="s">
        <v>25</v>
      </c>
      <c r="O369" s="8">
        <v>6000</v>
      </c>
    </row>
    <row r="370" spans="1:15" ht="15.7" customHeight="1" x14ac:dyDescent="0.3">
      <c r="A370" s="1" t="s">
        <v>769</v>
      </c>
      <c r="B370" s="1" t="s">
        <v>770</v>
      </c>
      <c r="C370" s="1" t="s">
        <v>17</v>
      </c>
      <c r="D370" s="1" t="s">
        <v>18</v>
      </c>
      <c r="E370" s="1" t="s">
        <v>855</v>
      </c>
      <c r="F370" s="1" t="s">
        <v>29</v>
      </c>
      <c r="G370" s="2">
        <v>45506</v>
      </c>
      <c r="H370" s="2">
        <v>45326</v>
      </c>
      <c r="I370" s="1" t="s">
        <v>20</v>
      </c>
      <c r="J370" s="1" t="s">
        <v>21</v>
      </c>
      <c r="K370" s="1" t="s">
        <v>22</v>
      </c>
      <c r="L370" s="1" t="s">
        <v>214</v>
      </c>
      <c r="M370" s="1" t="s">
        <v>24</v>
      </c>
      <c r="N370" s="1" t="s">
        <v>25</v>
      </c>
      <c r="O370" s="8">
        <v>6000</v>
      </c>
    </row>
    <row r="371" spans="1:15" ht="15.7" customHeight="1" x14ac:dyDescent="0.3">
      <c r="A371" s="1" t="s">
        <v>771</v>
      </c>
      <c r="B371" s="1" t="s">
        <v>772</v>
      </c>
      <c r="C371" s="1" t="s">
        <v>17</v>
      </c>
      <c r="D371" s="1" t="s">
        <v>18</v>
      </c>
      <c r="E371" s="1" t="s">
        <v>855</v>
      </c>
      <c r="F371" s="1" t="s">
        <v>29</v>
      </c>
      <c r="G371" s="2">
        <v>45506</v>
      </c>
      <c r="H371" s="2">
        <v>45326</v>
      </c>
      <c r="I371" s="1" t="s">
        <v>20</v>
      </c>
      <c r="J371" s="1" t="s">
        <v>21</v>
      </c>
      <c r="K371" s="1" t="s">
        <v>36</v>
      </c>
      <c r="L371" s="1" t="s">
        <v>91</v>
      </c>
      <c r="M371" s="1" t="s">
        <v>44</v>
      </c>
      <c r="N371" s="1" t="s">
        <v>25</v>
      </c>
      <c r="O371" s="8">
        <v>6000</v>
      </c>
    </row>
    <row r="372" spans="1:15" ht="15.7" customHeight="1" x14ac:dyDescent="0.3">
      <c r="A372" s="1" t="s">
        <v>773</v>
      </c>
      <c r="B372" s="1" t="s">
        <v>774</v>
      </c>
      <c r="C372" s="1" t="s">
        <v>17</v>
      </c>
      <c r="D372" s="1" t="s">
        <v>18</v>
      </c>
      <c r="E372" s="1" t="s">
        <v>855</v>
      </c>
      <c r="F372" s="1" t="s">
        <v>29</v>
      </c>
      <c r="G372" s="2">
        <v>45506</v>
      </c>
      <c r="H372" s="2">
        <v>45326</v>
      </c>
      <c r="I372" s="1" t="s">
        <v>20</v>
      </c>
      <c r="J372" s="1" t="s">
        <v>21</v>
      </c>
      <c r="K372" s="1" t="s">
        <v>30</v>
      </c>
      <c r="L372" s="1" t="s">
        <v>91</v>
      </c>
      <c r="M372" s="1" t="s">
        <v>44</v>
      </c>
      <c r="N372" s="1" t="s">
        <v>25</v>
      </c>
      <c r="O372" s="8">
        <v>6000</v>
      </c>
    </row>
    <row r="373" spans="1:15" ht="15.7" customHeight="1" x14ac:dyDescent="0.3">
      <c r="A373" s="1" t="s">
        <v>775</v>
      </c>
      <c r="B373" s="1" t="s">
        <v>776</v>
      </c>
      <c r="C373" s="1" t="s">
        <v>17</v>
      </c>
      <c r="D373" s="1" t="s">
        <v>18</v>
      </c>
      <c r="E373" s="1" t="s">
        <v>855</v>
      </c>
      <c r="F373" s="1" t="s">
        <v>29</v>
      </c>
      <c r="G373" s="2">
        <v>45506</v>
      </c>
      <c r="H373" s="2">
        <v>45326</v>
      </c>
      <c r="I373" s="1" t="s">
        <v>20</v>
      </c>
      <c r="J373" s="1" t="s">
        <v>21</v>
      </c>
      <c r="K373" s="1" t="s">
        <v>22</v>
      </c>
      <c r="L373" s="1" t="s">
        <v>43</v>
      </c>
      <c r="M373" s="1" t="s">
        <v>44</v>
      </c>
      <c r="N373" s="1" t="s">
        <v>25</v>
      </c>
      <c r="O373" s="8">
        <v>6000</v>
      </c>
    </row>
    <row r="374" spans="1:15" ht="15.7" customHeight="1" x14ac:dyDescent="0.3">
      <c r="A374" s="1" t="s">
        <v>777</v>
      </c>
      <c r="B374" s="1" t="s">
        <v>778</v>
      </c>
      <c r="C374" s="1" t="s">
        <v>17</v>
      </c>
      <c r="D374" s="1" t="s">
        <v>18</v>
      </c>
      <c r="E374" s="1" t="s">
        <v>855</v>
      </c>
      <c r="F374" s="1" t="s">
        <v>29</v>
      </c>
      <c r="G374" s="2">
        <v>45506</v>
      </c>
      <c r="H374" s="2">
        <v>45326</v>
      </c>
      <c r="I374" s="1" t="s">
        <v>76</v>
      </c>
      <c r="J374" s="1" t="s">
        <v>21</v>
      </c>
      <c r="K374" s="1" t="s">
        <v>30</v>
      </c>
      <c r="L374" s="1" t="s">
        <v>214</v>
      </c>
      <c r="M374" s="1" t="s">
        <v>24</v>
      </c>
      <c r="N374" s="1" t="s">
        <v>25</v>
      </c>
      <c r="O374" s="8">
        <v>6000</v>
      </c>
    </row>
    <row r="375" spans="1:15" ht="15.7" customHeight="1" x14ac:dyDescent="0.3">
      <c r="A375" s="1" t="s">
        <v>779</v>
      </c>
      <c r="B375" s="1" t="s">
        <v>780</v>
      </c>
      <c r="C375" s="1" t="s">
        <v>17</v>
      </c>
      <c r="D375" s="1" t="s">
        <v>18</v>
      </c>
      <c r="E375" s="1" t="s">
        <v>855</v>
      </c>
      <c r="F375" s="1" t="s">
        <v>29</v>
      </c>
      <c r="G375" s="2">
        <v>45506</v>
      </c>
      <c r="H375" s="2">
        <v>45326</v>
      </c>
      <c r="I375" s="1" t="s">
        <v>20</v>
      </c>
      <c r="J375" s="1" t="s">
        <v>21</v>
      </c>
      <c r="K375" s="1" t="s">
        <v>22</v>
      </c>
      <c r="L375" s="1" t="s">
        <v>23</v>
      </c>
      <c r="M375" s="1" t="s">
        <v>24</v>
      </c>
      <c r="N375" s="1" t="s">
        <v>25</v>
      </c>
      <c r="O375" s="8">
        <v>6000</v>
      </c>
    </row>
    <row r="376" spans="1:15" ht="15.7" customHeight="1" x14ac:dyDescent="0.3">
      <c r="A376" s="1" t="s">
        <v>781</v>
      </c>
      <c r="B376" s="1" t="s">
        <v>782</v>
      </c>
      <c r="C376" s="1" t="s">
        <v>17</v>
      </c>
      <c r="D376" s="1" t="s">
        <v>18</v>
      </c>
      <c r="E376" s="1" t="s">
        <v>855</v>
      </c>
      <c r="F376" s="1" t="s">
        <v>29</v>
      </c>
      <c r="G376" s="2">
        <v>45506</v>
      </c>
      <c r="H376" s="2">
        <v>45326</v>
      </c>
      <c r="I376" s="1" t="s">
        <v>20</v>
      </c>
      <c r="J376" s="1" t="s">
        <v>21</v>
      </c>
      <c r="K376" s="1" t="s">
        <v>36</v>
      </c>
      <c r="L376" s="1" t="s">
        <v>571</v>
      </c>
      <c r="M376" s="1" t="s">
        <v>44</v>
      </c>
      <c r="N376" s="1" t="s">
        <v>25</v>
      </c>
      <c r="O376" s="8">
        <v>6000</v>
      </c>
    </row>
    <row r="377" spans="1:15" ht="15.7" customHeight="1" x14ac:dyDescent="0.3">
      <c r="A377" s="1" t="s">
        <v>783</v>
      </c>
      <c r="B377" s="1" t="s">
        <v>784</v>
      </c>
      <c r="C377" s="1" t="s">
        <v>34</v>
      </c>
      <c r="D377" s="1" t="s">
        <v>18</v>
      </c>
      <c r="E377" s="1" t="s">
        <v>855</v>
      </c>
      <c r="F377" s="1" t="s">
        <v>29</v>
      </c>
      <c r="G377" s="2">
        <v>45507</v>
      </c>
      <c r="H377" s="2">
        <v>45327</v>
      </c>
      <c r="I377" s="1" t="s">
        <v>20</v>
      </c>
      <c r="J377" s="1" t="s">
        <v>21</v>
      </c>
      <c r="K377" s="1" t="s">
        <v>36</v>
      </c>
      <c r="L377" s="1" t="s">
        <v>114</v>
      </c>
      <c r="M377" s="1" t="s">
        <v>24</v>
      </c>
      <c r="N377" s="1" t="s">
        <v>25</v>
      </c>
      <c r="O377" s="8">
        <v>6000</v>
      </c>
    </row>
    <row r="378" spans="1:15" ht="15.7" customHeight="1" x14ac:dyDescent="0.3">
      <c r="A378" s="1" t="s">
        <v>785</v>
      </c>
      <c r="B378" s="1" t="s">
        <v>786</v>
      </c>
      <c r="C378" s="1" t="s">
        <v>199</v>
      </c>
      <c r="D378" s="1" t="s">
        <v>18</v>
      </c>
      <c r="E378" s="1" t="s">
        <v>855</v>
      </c>
      <c r="F378" s="1" t="s">
        <v>29</v>
      </c>
      <c r="G378" s="2">
        <v>45508</v>
      </c>
      <c r="H378" s="2">
        <v>45328</v>
      </c>
      <c r="I378" s="1" t="s">
        <v>76</v>
      </c>
      <c r="J378" s="1" t="s">
        <v>21</v>
      </c>
      <c r="K378" s="1" t="s">
        <v>110</v>
      </c>
      <c r="L378" s="1" t="s">
        <v>214</v>
      </c>
      <c r="M378" s="1" t="s">
        <v>24</v>
      </c>
      <c r="N378" s="1" t="s">
        <v>25</v>
      </c>
      <c r="O378" s="8">
        <v>6000</v>
      </c>
    </row>
    <row r="379" spans="1:15" ht="15.7" customHeight="1" x14ac:dyDescent="0.3">
      <c r="A379" s="1" t="s">
        <v>787</v>
      </c>
      <c r="B379" s="1" t="s">
        <v>788</v>
      </c>
      <c r="C379" s="1" t="s">
        <v>34</v>
      </c>
      <c r="D379" s="1" t="s">
        <v>18</v>
      </c>
      <c r="E379" s="1" t="s">
        <v>855</v>
      </c>
      <c r="F379" s="1" t="s">
        <v>29</v>
      </c>
      <c r="G379" s="2">
        <v>45508</v>
      </c>
      <c r="H379" s="2">
        <v>45328</v>
      </c>
      <c r="I379" s="1" t="s">
        <v>20</v>
      </c>
      <c r="J379" s="1" t="s">
        <v>21</v>
      </c>
      <c r="K379" s="1" t="s">
        <v>54</v>
      </c>
      <c r="L379" s="1" t="s">
        <v>91</v>
      </c>
      <c r="M379" s="1" t="s">
        <v>44</v>
      </c>
      <c r="N379" s="1" t="s">
        <v>25</v>
      </c>
      <c r="O379" s="8">
        <v>6000</v>
      </c>
    </row>
    <row r="380" spans="1:15" ht="15.7" customHeight="1" x14ac:dyDescent="0.3">
      <c r="A380" s="1" t="s">
        <v>789</v>
      </c>
      <c r="B380" s="1" t="s">
        <v>790</v>
      </c>
      <c r="C380" s="1" t="s">
        <v>41</v>
      </c>
      <c r="D380" s="1" t="s">
        <v>18</v>
      </c>
      <c r="E380" s="1" t="s">
        <v>855</v>
      </c>
      <c r="F380" s="1" t="s">
        <v>29</v>
      </c>
      <c r="G380" s="2">
        <v>45508</v>
      </c>
      <c r="H380" s="2">
        <v>45328</v>
      </c>
      <c r="I380" s="1" t="s">
        <v>20</v>
      </c>
      <c r="J380" s="1" t="s">
        <v>21</v>
      </c>
      <c r="K380" s="1" t="s">
        <v>30</v>
      </c>
      <c r="L380" s="1" t="s">
        <v>23</v>
      </c>
      <c r="M380" s="1" t="s">
        <v>24</v>
      </c>
      <c r="N380" s="1" t="s">
        <v>25</v>
      </c>
      <c r="O380" s="8">
        <v>6000</v>
      </c>
    </row>
    <row r="381" spans="1:15" ht="15.7" customHeight="1" x14ac:dyDescent="0.3">
      <c r="A381" s="1" t="s">
        <v>791</v>
      </c>
      <c r="B381" s="1" t="s">
        <v>792</v>
      </c>
      <c r="C381" s="1" t="s">
        <v>34</v>
      </c>
      <c r="D381" s="1" t="s">
        <v>18</v>
      </c>
      <c r="E381" s="1" t="s">
        <v>855</v>
      </c>
      <c r="F381" s="1" t="s">
        <v>29</v>
      </c>
      <c r="G381" s="2">
        <v>45508</v>
      </c>
      <c r="H381" s="2">
        <v>45328</v>
      </c>
      <c r="I381" s="1" t="s">
        <v>20</v>
      </c>
      <c r="J381" s="1" t="s">
        <v>21</v>
      </c>
      <c r="K381" s="1" t="s">
        <v>36</v>
      </c>
      <c r="L381" s="1" t="s">
        <v>114</v>
      </c>
      <c r="M381" s="1" t="s">
        <v>24</v>
      </c>
      <c r="N381" s="1" t="s">
        <v>25</v>
      </c>
      <c r="O381" s="8">
        <v>6000</v>
      </c>
    </row>
    <row r="382" spans="1:15" ht="15.7" customHeight="1" x14ac:dyDescent="0.3">
      <c r="A382" s="1" t="s">
        <v>793</v>
      </c>
      <c r="B382" s="1" t="s">
        <v>794</v>
      </c>
      <c r="C382" s="1" t="s">
        <v>570</v>
      </c>
      <c r="D382" s="1" t="s">
        <v>18</v>
      </c>
      <c r="E382" s="1" t="s">
        <v>855</v>
      </c>
      <c r="F382" s="1" t="s">
        <v>29</v>
      </c>
      <c r="G382" s="2">
        <v>45508</v>
      </c>
      <c r="H382" s="2">
        <v>45328</v>
      </c>
      <c r="I382" s="1" t="s">
        <v>20</v>
      </c>
      <c r="J382" s="1" t="s">
        <v>21</v>
      </c>
      <c r="K382" s="1" t="s">
        <v>54</v>
      </c>
      <c r="L382" s="1" t="s">
        <v>214</v>
      </c>
      <c r="M382" s="1" t="s">
        <v>24</v>
      </c>
      <c r="N382" s="1" t="s">
        <v>25</v>
      </c>
      <c r="O382" s="8">
        <v>6000</v>
      </c>
    </row>
    <row r="383" spans="1:15" ht="15.7" customHeight="1" x14ac:dyDescent="0.3">
      <c r="A383" s="1" t="s">
        <v>795</v>
      </c>
      <c r="B383" s="1" t="s">
        <v>796</v>
      </c>
      <c r="C383" s="1" t="s">
        <v>17</v>
      </c>
      <c r="D383" s="1" t="s">
        <v>18</v>
      </c>
      <c r="E383" s="1" t="s">
        <v>855</v>
      </c>
      <c r="F383" s="1" t="s">
        <v>29</v>
      </c>
      <c r="G383" s="2">
        <v>45508</v>
      </c>
      <c r="H383" s="2">
        <v>45328</v>
      </c>
      <c r="I383" s="1" t="s">
        <v>20</v>
      </c>
      <c r="J383" s="1" t="s">
        <v>21</v>
      </c>
      <c r="K383" s="1" t="s">
        <v>143</v>
      </c>
      <c r="L383" s="1" t="s">
        <v>167</v>
      </c>
      <c r="M383" s="1" t="s">
        <v>857</v>
      </c>
      <c r="N383" s="1" t="s">
        <v>25</v>
      </c>
      <c r="O383" s="8">
        <v>6000</v>
      </c>
    </row>
    <row r="384" spans="1:15" ht="15.7" customHeight="1" x14ac:dyDescent="0.3">
      <c r="A384" s="1" t="s">
        <v>797</v>
      </c>
      <c r="B384" s="1" t="s">
        <v>798</v>
      </c>
      <c r="C384" s="1" t="s">
        <v>17</v>
      </c>
      <c r="D384" s="1" t="s">
        <v>18</v>
      </c>
      <c r="E384" s="1" t="s">
        <v>855</v>
      </c>
      <c r="F384" s="1" t="s">
        <v>29</v>
      </c>
      <c r="G384" s="2">
        <v>45509</v>
      </c>
      <c r="H384" s="2">
        <v>45329</v>
      </c>
      <c r="I384" s="1" t="s">
        <v>76</v>
      </c>
      <c r="J384" s="1" t="s">
        <v>21</v>
      </c>
      <c r="K384" s="1" t="s">
        <v>22</v>
      </c>
      <c r="L384" s="1" t="s">
        <v>91</v>
      </c>
      <c r="M384" s="1" t="s">
        <v>44</v>
      </c>
      <c r="N384" s="1" t="s">
        <v>25</v>
      </c>
      <c r="O384" s="8">
        <v>6000</v>
      </c>
    </row>
    <row r="385" spans="1:15" ht="15.7" customHeight="1" x14ac:dyDescent="0.3">
      <c r="A385" s="1" t="s">
        <v>799</v>
      </c>
      <c r="B385" s="1" t="s">
        <v>800</v>
      </c>
      <c r="C385" s="1" t="s">
        <v>34</v>
      </c>
      <c r="D385" s="1" t="s">
        <v>18</v>
      </c>
      <c r="E385" s="1" t="s">
        <v>855</v>
      </c>
      <c r="F385" s="1" t="s">
        <v>29</v>
      </c>
      <c r="G385" s="2">
        <v>45509</v>
      </c>
      <c r="H385" s="2">
        <v>45329</v>
      </c>
      <c r="I385" s="1" t="s">
        <v>20</v>
      </c>
      <c r="J385" s="1" t="s">
        <v>21</v>
      </c>
      <c r="K385" s="1" t="s">
        <v>68</v>
      </c>
      <c r="L385" s="1" t="s">
        <v>114</v>
      </c>
      <c r="M385" s="1" t="s">
        <v>24</v>
      </c>
      <c r="N385" s="1" t="s">
        <v>25</v>
      </c>
      <c r="O385" s="8">
        <v>6000</v>
      </c>
    </row>
    <row r="386" spans="1:15" ht="15.7" customHeight="1" x14ac:dyDescent="0.3">
      <c r="A386" s="1" t="s">
        <v>801</v>
      </c>
      <c r="B386" s="1" t="s">
        <v>802</v>
      </c>
      <c r="C386" s="1" t="s">
        <v>41</v>
      </c>
      <c r="D386" s="1" t="s">
        <v>18</v>
      </c>
      <c r="E386" s="1" t="s">
        <v>855</v>
      </c>
      <c r="F386" s="1" t="s">
        <v>29</v>
      </c>
      <c r="G386" s="2">
        <v>45509</v>
      </c>
      <c r="H386" s="2">
        <v>45329</v>
      </c>
      <c r="I386" s="1" t="s">
        <v>20</v>
      </c>
      <c r="J386" s="1" t="s">
        <v>21</v>
      </c>
      <c r="K386" s="1" t="s">
        <v>22</v>
      </c>
      <c r="L386" s="1" t="s">
        <v>23</v>
      </c>
      <c r="M386" s="1" t="s">
        <v>24</v>
      </c>
      <c r="N386" s="1" t="s">
        <v>25</v>
      </c>
      <c r="O386" s="8">
        <v>6000</v>
      </c>
    </row>
    <row r="387" spans="1:15" ht="15.7" customHeight="1" x14ac:dyDescent="0.3">
      <c r="A387" s="1" t="s">
        <v>803</v>
      </c>
      <c r="B387" s="1" t="s">
        <v>804</v>
      </c>
      <c r="C387" s="1" t="s">
        <v>34</v>
      </c>
      <c r="D387" s="1" t="s">
        <v>18</v>
      </c>
      <c r="E387" s="1" t="s">
        <v>855</v>
      </c>
      <c r="F387" s="1" t="s">
        <v>29</v>
      </c>
      <c r="G387" s="2">
        <v>45509</v>
      </c>
      <c r="H387" s="2">
        <v>45329</v>
      </c>
      <c r="I387" s="1" t="s">
        <v>20</v>
      </c>
      <c r="J387" s="1" t="s">
        <v>21</v>
      </c>
      <c r="K387" s="1" t="s">
        <v>22</v>
      </c>
      <c r="L387" s="1" t="s">
        <v>23</v>
      </c>
      <c r="M387" s="1" t="s">
        <v>24</v>
      </c>
      <c r="N387" s="1" t="s">
        <v>25</v>
      </c>
      <c r="O387" s="8">
        <v>6000</v>
      </c>
    </row>
    <row r="388" spans="1:15" ht="15.7" customHeight="1" x14ac:dyDescent="0.3">
      <c r="A388" s="1" t="s">
        <v>805</v>
      </c>
      <c r="B388" s="1" t="s">
        <v>806</v>
      </c>
      <c r="C388" s="1" t="s">
        <v>34</v>
      </c>
      <c r="D388" s="1" t="s">
        <v>18</v>
      </c>
      <c r="E388" s="1" t="s">
        <v>855</v>
      </c>
      <c r="F388" s="1" t="s">
        <v>29</v>
      </c>
      <c r="G388" s="2">
        <v>45509</v>
      </c>
      <c r="H388" s="2">
        <v>45329</v>
      </c>
      <c r="I388" s="1" t="s">
        <v>76</v>
      </c>
      <c r="J388" s="1" t="s">
        <v>21</v>
      </c>
      <c r="K388" s="1" t="s">
        <v>22</v>
      </c>
      <c r="L388" s="1" t="s">
        <v>114</v>
      </c>
      <c r="M388" s="1" t="s">
        <v>24</v>
      </c>
      <c r="N388" s="1" t="s">
        <v>25</v>
      </c>
      <c r="O388" s="8">
        <v>6000</v>
      </c>
    </row>
    <row r="389" spans="1:15" ht="15.7" customHeight="1" x14ac:dyDescent="0.3">
      <c r="A389" s="1" t="s">
        <v>807</v>
      </c>
      <c r="B389" s="1" t="s">
        <v>808</v>
      </c>
      <c r="C389" s="1" t="s">
        <v>17</v>
      </c>
      <c r="D389" s="1" t="s">
        <v>18</v>
      </c>
      <c r="E389" s="1" t="s">
        <v>855</v>
      </c>
      <c r="F389" s="1" t="s">
        <v>29</v>
      </c>
      <c r="G389" s="2">
        <v>45509</v>
      </c>
      <c r="H389" s="2">
        <v>45329</v>
      </c>
      <c r="I389" s="1" t="s">
        <v>20</v>
      </c>
      <c r="J389" s="1" t="s">
        <v>21</v>
      </c>
      <c r="K389" s="1" t="s">
        <v>30</v>
      </c>
      <c r="L389" s="1" t="s">
        <v>23</v>
      </c>
      <c r="M389" s="1" t="s">
        <v>24</v>
      </c>
      <c r="N389" s="1" t="s">
        <v>25</v>
      </c>
      <c r="O389" s="8">
        <v>6000</v>
      </c>
    </row>
    <row r="390" spans="1:15" ht="15.7" customHeight="1" x14ac:dyDescent="0.3">
      <c r="A390" s="1" t="s">
        <v>809</v>
      </c>
      <c r="B390" s="1" t="s">
        <v>810</v>
      </c>
      <c r="C390" s="1" t="s">
        <v>17</v>
      </c>
      <c r="D390" s="1" t="s">
        <v>18</v>
      </c>
      <c r="E390" s="1" t="s">
        <v>855</v>
      </c>
      <c r="F390" s="1" t="s">
        <v>29</v>
      </c>
      <c r="G390" s="2">
        <v>45509</v>
      </c>
      <c r="H390" s="2">
        <v>45329</v>
      </c>
      <c r="I390" s="1" t="s">
        <v>20</v>
      </c>
      <c r="J390" s="1" t="s">
        <v>21</v>
      </c>
      <c r="K390" s="1" t="s">
        <v>36</v>
      </c>
      <c r="L390" s="1" t="s">
        <v>167</v>
      </c>
      <c r="M390" s="1" t="s">
        <v>857</v>
      </c>
      <c r="N390" s="1" t="s">
        <v>25</v>
      </c>
      <c r="O390" s="8">
        <v>6000</v>
      </c>
    </row>
    <row r="391" spans="1:15" ht="15.7" customHeight="1" x14ac:dyDescent="0.3">
      <c r="A391" s="1" t="s">
        <v>811</v>
      </c>
      <c r="B391" s="1" t="s">
        <v>812</v>
      </c>
      <c r="C391" s="1" t="s">
        <v>17</v>
      </c>
      <c r="D391" s="1" t="s">
        <v>18</v>
      </c>
      <c r="E391" s="1" t="s">
        <v>855</v>
      </c>
      <c r="F391" s="1" t="s">
        <v>29</v>
      </c>
      <c r="G391" s="2">
        <v>45509</v>
      </c>
      <c r="H391" s="2">
        <v>45329</v>
      </c>
      <c r="I391" s="1" t="s">
        <v>20</v>
      </c>
      <c r="J391" s="1" t="s">
        <v>21</v>
      </c>
      <c r="K391" s="1" t="s">
        <v>22</v>
      </c>
      <c r="L391" s="1" t="s">
        <v>111</v>
      </c>
      <c r="M391" s="1" t="s">
        <v>44</v>
      </c>
      <c r="N391" s="1" t="s">
        <v>25</v>
      </c>
      <c r="O391" s="8">
        <v>6000</v>
      </c>
    </row>
    <row r="392" spans="1:15" ht="15.7" customHeight="1" x14ac:dyDescent="0.3">
      <c r="A392" s="1" t="s">
        <v>813</v>
      </c>
      <c r="B392" s="1" t="s">
        <v>814</v>
      </c>
      <c r="C392" s="1" t="s">
        <v>34</v>
      </c>
      <c r="D392" s="1" t="s">
        <v>18</v>
      </c>
      <c r="E392" s="1" t="s">
        <v>855</v>
      </c>
      <c r="F392" s="1" t="s">
        <v>29</v>
      </c>
      <c r="G392" s="2">
        <v>45510</v>
      </c>
      <c r="H392" s="2">
        <v>45330</v>
      </c>
      <c r="I392" s="1" t="s">
        <v>76</v>
      </c>
      <c r="J392" s="1" t="s">
        <v>21</v>
      </c>
      <c r="K392" s="1" t="s">
        <v>36</v>
      </c>
      <c r="L392" s="1" t="s">
        <v>23</v>
      </c>
      <c r="M392" s="1" t="s">
        <v>24</v>
      </c>
      <c r="N392" s="1" t="s">
        <v>25</v>
      </c>
      <c r="O392" s="8">
        <v>6000</v>
      </c>
    </row>
    <row r="393" spans="1:15" ht="15.7" customHeight="1" x14ac:dyDescent="0.3">
      <c r="A393" s="1" t="s">
        <v>815</v>
      </c>
      <c r="B393" s="1" t="s">
        <v>816</v>
      </c>
      <c r="C393" s="1" t="s">
        <v>199</v>
      </c>
      <c r="D393" s="1" t="s">
        <v>18</v>
      </c>
      <c r="E393" s="1" t="s">
        <v>855</v>
      </c>
      <c r="F393" s="1" t="s">
        <v>29</v>
      </c>
      <c r="G393" s="2">
        <v>45510</v>
      </c>
      <c r="H393" s="2">
        <v>45330</v>
      </c>
      <c r="I393" s="1" t="s">
        <v>20</v>
      </c>
      <c r="J393" s="1" t="s">
        <v>35</v>
      </c>
      <c r="K393" s="1" t="s">
        <v>30</v>
      </c>
      <c r="L393" s="1" t="s">
        <v>23</v>
      </c>
      <c r="M393" s="1" t="s">
        <v>24</v>
      </c>
      <c r="N393" s="1" t="s">
        <v>25</v>
      </c>
      <c r="O393" s="8">
        <v>6000</v>
      </c>
    </row>
    <row r="394" spans="1:15" ht="15.7" customHeight="1" x14ac:dyDescent="0.3">
      <c r="A394" s="1" t="s">
        <v>817</v>
      </c>
      <c r="B394" s="1" t="s">
        <v>818</v>
      </c>
      <c r="C394" s="1" t="s">
        <v>34</v>
      </c>
      <c r="D394" s="1" t="s">
        <v>18</v>
      </c>
      <c r="E394" s="1" t="s">
        <v>855</v>
      </c>
      <c r="F394" s="1" t="s">
        <v>29</v>
      </c>
      <c r="G394" s="2">
        <v>45510</v>
      </c>
      <c r="H394" s="2">
        <v>45330</v>
      </c>
      <c r="I394" s="1" t="s">
        <v>76</v>
      </c>
      <c r="J394" s="1" t="s">
        <v>21</v>
      </c>
      <c r="K394" s="1" t="s">
        <v>36</v>
      </c>
      <c r="L394" s="1" t="s">
        <v>23</v>
      </c>
      <c r="M394" s="1" t="s">
        <v>24</v>
      </c>
      <c r="N394" s="1" t="s">
        <v>25</v>
      </c>
      <c r="O394" s="8">
        <v>6000</v>
      </c>
    </row>
    <row r="395" spans="1:15" ht="15.7" customHeight="1" x14ac:dyDescent="0.3">
      <c r="A395" s="1" t="s">
        <v>819</v>
      </c>
      <c r="B395" s="1" t="s">
        <v>820</v>
      </c>
      <c r="C395" s="1" t="s">
        <v>41</v>
      </c>
      <c r="D395" s="1" t="s">
        <v>18</v>
      </c>
      <c r="E395" s="1" t="s">
        <v>855</v>
      </c>
      <c r="F395" s="1" t="s">
        <v>29</v>
      </c>
      <c r="G395" s="2">
        <v>45512</v>
      </c>
      <c r="H395" s="2">
        <v>45332</v>
      </c>
      <c r="I395" s="1" t="s">
        <v>76</v>
      </c>
      <c r="J395" s="1" t="s">
        <v>21</v>
      </c>
      <c r="K395" s="1" t="s">
        <v>22</v>
      </c>
      <c r="L395" s="1" t="s">
        <v>219</v>
      </c>
      <c r="M395" s="1" t="s">
        <v>44</v>
      </c>
      <c r="N395" s="1" t="s">
        <v>25</v>
      </c>
      <c r="O395" s="8">
        <v>6000</v>
      </c>
    </row>
    <row r="396" spans="1:15" ht="15.7" customHeight="1" x14ac:dyDescent="0.3">
      <c r="A396" s="1" t="s">
        <v>821</v>
      </c>
      <c r="B396" s="1" t="s">
        <v>822</v>
      </c>
      <c r="C396" s="1" t="s">
        <v>34</v>
      </c>
      <c r="D396" s="1" t="s">
        <v>18</v>
      </c>
      <c r="E396" s="1" t="s">
        <v>855</v>
      </c>
      <c r="F396" s="1" t="s">
        <v>29</v>
      </c>
      <c r="G396" s="2">
        <v>45512</v>
      </c>
      <c r="H396" s="2">
        <v>45332</v>
      </c>
      <c r="I396" s="1" t="s">
        <v>20</v>
      </c>
      <c r="J396" s="1" t="s">
        <v>21</v>
      </c>
      <c r="K396" s="1" t="s">
        <v>30</v>
      </c>
      <c r="L396" s="1" t="s">
        <v>91</v>
      </c>
      <c r="M396" s="1" t="s">
        <v>44</v>
      </c>
      <c r="N396" s="1" t="s">
        <v>25</v>
      </c>
      <c r="O396" s="8">
        <v>6000</v>
      </c>
    </row>
    <row r="397" spans="1:15" ht="15.7" customHeight="1" x14ac:dyDescent="0.3">
      <c r="A397" s="1" t="s">
        <v>823</v>
      </c>
      <c r="B397" s="1" t="s">
        <v>824</v>
      </c>
      <c r="C397" s="1" t="s">
        <v>570</v>
      </c>
      <c r="D397" s="1" t="s">
        <v>856</v>
      </c>
      <c r="E397" s="1" t="s">
        <v>854</v>
      </c>
      <c r="F397" s="1" t="s">
        <v>29</v>
      </c>
      <c r="G397" s="2">
        <v>45513</v>
      </c>
      <c r="H397" s="2">
        <v>45333</v>
      </c>
      <c r="I397" s="1" t="s">
        <v>20</v>
      </c>
      <c r="J397" s="1" t="s">
        <v>35</v>
      </c>
      <c r="K397" s="1" t="s">
        <v>36</v>
      </c>
      <c r="L397" s="1" t="s">
        <v>825</v>
      </c>
      <c r="M397" s="1" t="s">
        <v>857</v>
      </c>
      <c r="N397" s="1" t="s">
        <v>25</v>
      </c>
      <c r="O397" s="8">
        <v>6000</v>
      </c>
    </row>
    <row r="398" spans="1:15" ht="15.7" customHeight="1" x14ac:dyDescent="0.3">
      <c r="A398" s="1" t="s">
        <v>826</v>
      </c>
      <c r="B398" s="1" t="s">
        <v>827</v>
      </c>
      <c r="C398" s="1" t="s">
        <v>17</v>
      </c>
      <c r="D398" s="1" t="s">
        <v>18</v>
      </c>
      <c r="E398" s="1" t="s">
        <v>855</v>
      </c>
      <c r="F398" s="1" t="s">
        <v>29</v>
      </c>
      <c r="G398" s="2">
        <v>45514</v>
      </c>
      <c r="H398" s="2">
        <v>45334</v>
      </c>
      <c r="I398" s="1" t="s">
        <v>20</v>
      </c>
      <c r="J398" s="1" t="s">
        <v>21</v>
      </c>
      <c r="K398" s="1" t="s">
        <v>54</v>
      </c>
      <c r="L398" s="1" t="s">
        <v>111</v>
      </c>
      <c r="M398" s="1" t="s">
        <v>44</v>
      </c>
      <c r="N398" s="1" t="s">
        <v>25</v>
      </c>
      <c r="O398" s="8">
        <v>6000</v>
      </c>
    </row>
    <row r="399" spans="1:15" ht="15.7" customHeight="1" x14ac:dyDescent="0.3">
      <c r="A399" s="1" t="s">
        <v>828</v>
      </c>
      <c r="B399" s="1" t="s">
        <v>829</v>
      </c>
      <c r="C399" s="1" t="s">
        <v>17</v>
      </c>
      <c r="D399" s="1" t="s">
        <v>18</v>
      </c>
      <c r="E399" s="1" t="s">
        <v>855</v>
      </c>
      <c r="F399" s="1" t="s">
        <v>29</v>
      </c>
      <c r="G399" s="2">
        <v>45515</v>
      </c>
      <c r="H399" s="2">
        <v>45335</v>
      </c>
      <c r="I399" s="1" t="s">
        <v>76</v>
      </c>
      <c r="J399" s="1" t="s">
        <v>21</v>
      </c>
      <c r="K399" s="1" t="s">
        <v>509</v>
      </c>
      <c r="L399" s="1" t="s">
        <v>91</v>
      </c>
      <c r="M399" s="1" t="s">
        <v>44</v>
      </c>
      <c r="N399" s="1" t="s">
        <v>25</v>
      </c>
      <c r="O399" s="8">
        <v>6000</v>
      </c>
    </row>
    <row r="400" spans="1:15" ht="15.7" customHeight="1" x14ac:dyDescent="0.3">
      <c r="A400" s="1" t="s">
        <v>830</v>
      </c>
      <c r="B400" s="1" t="s">
        <v>555</v>
      </c>
      <c r="C400" s="1" t="s">
        <v>34</v>
      </c>
      <c r="D400" s="1" t="s">
        <v>18</v>
      </c>
      <c r="E400" s="1" t="s">
        <v>855</v>
      </c>
      <c r="F400" s="1" t="s">
        <v>29</v>
      </c>
      <c r="G400" s="2">
        <v>45517</v>
      </c>
      <c r="H400" s="2">
        <v>45337</v>
      </c>
      <c r="I400" s="1" t="s">
        <v>20</v>
      </c>
      <c r="J400" s="1" t="s">
        <v>21</v>
      </c>
      <c r="K400" s="1" t="s">
        <v>36</v>
      </c>
      <c r="L400" s="1" t="s">
        <v>219</v>
      </c>
      <c r="M400" s="1" t="s">
        <v>44</v>
      </c>
      <c r="N400" s="1" t="s">
        <v>25</v>
      </c>
      <c r="O400" s="8">
        <v>6000</v>
      </c>
    </row>
    <row r="401" spans="1:15" ht="15.7" customHeight="1" x14ac:dyDescent="0.3">
      <c r="A401" s="1" t="s">
        <v>831</v>
      </c>
      <c r="B401" s="1" t="s">
        <v>832</v>
      </c>
      <c r="C401" s="1" t="s">
        <v>41</v>
      </c>
      <c r="D401" s="1" t="s">
        <v>18</v>
      </c>
      <c r="E401" s="1" t="s">
        <v>855</v>
      </c>
      <c r="F401" s="1" t="s">
        <v>29</v>
      </c>
      <c r="G401" s="2">
        <v>45517</v>
      </c>
      <c r="H401" s="2">
        <v>45337</v>
      </c>
      <c r="I401" s="1" t="s">
        <v>76</v>
      </c>
      <c r="J401" s="1" t="s">
        <v>21</v>
      </c>
      <c r="K401" s="1" t="s">
        <v>36</v>
      </c>
      <c r="L401" s="1" t="s">
        <v>23</v>
      </c>
      <c r="M401" s="1" t="s">
        <v>24</v>
      </c>
      <c r="N401" s="1" t="s">
        <v>25</v>
      </c>
      <c r="O401" s="8">
        <v>6000</v>
      </c>
    </row>
    <row r="402" spans="1:15" ht="15.7" customHeight="1" x14ac:dyDescent="0.3">
      <c r="A402" s="1" t="s">
        <v>833</v>
      </c>
      <c r="B402" s="1" t="s">
        <v>834</v>
      </c>
      <c r="C402" s="1" t="s">
        <v>34</v>
      </c>
      <c r="D402" s="1" t="s">
        <v>18</v>
      </c>
      <c r="E402" s="1" t="s">
        <v>855</v>
      </c>
      <c r="F402" s="1" t="s">
        <v>29</v>
      </c>
      <c r="G402" s="2">
        <v>45517</v>
      </c>
      <c r="H402" s="2">
        <v>45337</v>
      </c>
      <c r="I402" s="1" t="s">
        <v>76</v>
      </c>
      <c r="J402" s="1" t="s">
        <v>21</v>
      </c>
      <c r="K402" s="1" t="s">
        <v>30</v>
      </c>
      <c r="L402" s="1" t="s">
        <v>167</v>
      </c>
      <c r="M402" s="1" t="s">
        <v>857</v>
      </c>
      <c r="N402" s="1" t="s">
        <v>25</v>
      </c>
      <c r="O402" s="8">
        <v>6000</v>
      </c>
    </row>
    <row r="403" spans="1:15" ht="15.7" customHeight="1" x14ac:dyDescent="0.3">
      <c r="A403" s="1" t="s">
        <v>835</v>
      </c>
      <c r="B403" s="1" t="s">
        <v>836</v>
      </c>
      <c r="C403" s="1" t="s">
        <v>34</v>
      </c>
      <c r="D403" s="1" t="s">
        <v>18</v>
      </c>
      <c r="E403" s="1" t="s">
        <v>855</v>
      </c>
      <c r="F403" s="1" t="s">
        <v>29</v>
      </c>
      <c r="G403" s="2">
        <v>45517</v>
      </c>
      <c r="H403" s="2">
        <v>45337</v>
      </c>
      <c r="I403" s="1" t="s">
        <v>76</v>
      </c>
      <c r="J403" s="1" t="s">
        <v>21</v>
      </c>
      <c r="K403" s="1" t="s">
        <v>22</v>
      </c>
      <c r="L403" s="1" t="s">
        <v>23</v>
      </c>
      <c r="M403" s="1" t="s">
        <v>24</v>
      </c>
      <c r="N403" s="1" t="s">
        <v>25</v>
      </c>
      <c r="O403" s="8">
        <v>30000</v>
      </c>
    </row>
    <row r="404" spans="1:15" ht="15.7" customHeight="1" x14ac:dyDescent="0.3">
      <c r="A404" s="1" t="s">
        <v>837</v>
      </c>
      <c r="B404" s="1" t="s">
        <v>838</v>
      </c>
      <c r="C404" s="1" t="s">
        <v>17</v>
      </c>
      <c r="D404" s="1" t="s">
        <v>18</v>
      </c>
      <c r="E404" s="1" t="s">
        <v>855</v>
      </c>
      <c r="F404" s="1" t="s">
        <v>29</v>
      </c>
      <c r="G404" s="2">
        <v>45517</v>
      </c>
      <c r="H404" s="2">
        <v>45337</v>
      </c>
      <c r="I404" s="1" t="s">
        <v>76</v>
      </c>
      <c r="J404" s="1" t="s">
        <v>21</v>
      </c>
      <c r="K404" s="1" t="s">
        <v>30</v>
      </c>
      <c r="L404" s="1" t="s">
        <v>219</v>
      </c>
      <c r="M404" s="1" t="s">
        <v>44</v>
      </c>
      <c r="N404" s="1" t="s">
        <v>25</v>
      </c>
      <c r="O404" s="8">
        <v>30000</v>
      </c>
    </row>
    <row r="405" spans="1:15" ht="15.7" customHeight="1" x14ac:dyDescent="0.3">
      <c r="A405" s="1" t="s">
        <v>839</v>
      </c>
      <c r="B405" s="1" t="s">
        <v>840</v>
      </c>
      <c r="C405" s="1" t="s">
        <v>41</v>
      </c>
      <c r="D405" s="1" t="s">
        <v>18</v>
      </c>
      <c r="E405" s="1" t="s">
        <v>855</v>
      </c>
      <c r="F405" s="1" t="s">
        <v>29</v>
      </c>
      <c r="G405" s="2">
        <v>45517</v>
      </c>
      <c r="H405" s="2">
        <v>45337</v>
      </c>
      <c r="I405" s="1" t="s">
        <v>76</v>
      </c>
      <c r="J405" s="1" t="s">
        <v>21</v>
      </c>
      <c r="K405" s="1" t="s">
        <v>22</v>
      </c>
      <c r="L405" s="1" t="s">
        <v>23</v>
      </c>
      <c r="M405" s="1" t="s">
        <v>24</v>
      </c>
      <c r="N405" s="1" t="s">
        <v>25</v>
      </c>
      <c r="O405" s="8">
        <v>30000</v>
      </c>
    </row>
    <row r="406" spans="1:15" ht="15.7" customHeight="1" x14ac:dyDescent="0.3">
      <c r="A406" s="1" t="s">
        <v>841</v>
      </c>
      <c r="B406" s="1" t="s">
        <v>842</v>
      </c>
      <c r="C406" s="1" t="s">
        <v>41</v>
      </c>
      <c r="D406" s="1" t="s">
        <v>18</v>
      </c>
      <c r="E406" s="1" t="s">
        <v>855</v>
      </c>
      <c r="F406" s="1" t="s">
        <v>29</v>
      </c>
      <c r="G406" s="2">
        <v>45517</v>
      </c>
      <c r="H406" s="2">
        <v>45337</v>
      </c>
      <c r="I406" s="1" t="s">
        <v>20</v>
      </c>
      <c r="J406" s="1" t="s">
        <v>21</v>
      </c>
      <c r="K406" s="1" t="s">
        <v>22</v>
      </c>
      <c r="L406" s="1" t="s">
        <v>23</v>
      </c>
      <c r="M406" s="1" t="s">
        <v>24</v>
      </c>
      <c r="N406" s="1" t="s">
        <v>25</v>
      </c>
      <c r="O406" s="8">
        <v>30000</v>
      </c>
    </row>
    <row r="407" spans="1:15" ht="15.7" customHeight="1" x14ac:dyDescent="0.3">
      <c r="A407" s="1" t="s">
        <v>843</v>
      </c>
      <c r="B407" s="1" t="s">
        <v>844</v>
      </c>
      <c r="C407" s="1" t="s">
        <v>34</v>
      </c>
      <c r="D407" s="1" t="s">
        <v>18</v>
      </c>
      <c r="E407" s="1" t="s">
        <v>855</v>
      </c>
      <c r="F407" s="1" t="s">
        <v>29</v>
      </c>
      <c r="G407" s="2">
        <v>45519</v>
      </c>
      <c r="H407" s="2">
        <v>45339</v>
      </c>
      <c r="I407" s="1" t="s">
        <v>20</v>
      </c>
      <c r="J407" s="1" t="s">
        <v>21</v>
      </c>
      <c r="K407" s="1" t="s">
        <v>30</v>
      </c>
      <c r="L407" s="1" t="s">
        <v>23</v>
      </c>
      <c r="M407" s="1" t="s">
        <v>24</v>
      </c>
      <c r="N407" s="1" t="s">
        <v>25</v>
      </c>
      <c r="O407" s="8">
        <v>30000</v>
      </c>
    </row>
    <row r="408" spans="1:15" ht="15.7" customHeight="1" x14ac:dyDescent="0.3">
      <c r="A408" s="1" t="s">
        <v>845</v>
      </c>
      <c r="B408" s="1" t="s">
        <v>846</v>
      </c>
      <c r="C408" s="1" t="s">
        <v>34</v>
      </c>
      <c r="D408" s="1" t="s">
        <v>18</v>
      </c>
      <c r="E408" s="1" t="s">
        <v>855</v>
      </c>
      <c r="F408" s="1" t="s">
        <v>29</v>
      </c>
      <c r="G408" s="2">
        <v>45535</v>
      </c>
      <c r="H408" s="2">
        <v>45355</v>
      </c>
      <c r="I408" s="1" t="s">
        <v>20</v>
      </c>
      <c r="J408" s="1" t="s">
        <v>21</v>
      </c>
      <c r="K408" s="1" t="s">
        <v>36</v>
      </c>
      <c r="L408" s="1" t="s">
        <v>23</v>
      </c>
      <c r="M408" s="1" t="s">
        <v>24</v>
      </c>
      <c r="N408" s="1" t="s">
        <v>25</v>
      </c>
      <c r="O408" s="8">
        <v>30000</v>
      </c>
    </row>
    <row r="409" spans="1:15" ht="15.7" customHeight="1" x14ac:dyDescent="0.3">
      <c r="A409" s="1" t="s">
        <v>847</v>
      </c>
      <c r="B409" s="1" t="s">
        <v>848</v>
      </c>
      <c r="C409" s="1" t="s">
        <v>28</v>
      </c>
      <c r="D409" s="1" t="s">
        <v>849</v>
      </c>
      <c r="E409" s="1" t="s">
        <v>853</v>
      </c>
      <c r="F409" s="1" t="s">
        <v>29</v>
      </c>
      <c r="G409" s="2">
        <v>45579</v>
      </c>
      <c r="H409" s="2">
        <v>45399</v>
      </c>
      <c r="I409" s="1" t="s">
        <v>20</v>
      </c>
      <c r="J409" s="1" t="s">
        <v>21</v>
      </c>
      <c r="K409" s="1" t="s">
        <v>22</v>
      </c>
      <c r="L409" s="1" t="s">
        <v>301</v>
      </c>
      <c r="M409" s="1" t="s">
        <v>277</v>
      </c>
      <c r="N409" s="1" t="s">
        <v>25</v>
      </c>
      <c r="O409" s="8">
        <v>30000</v>
      </c>
    </row>
    <row r="410" spans="1:15" ht="15.7" customHeight="1" x14ac:dyDescent="0.3">
      <c r="A410" s="1" t="s">
        <v>850</v>
      </c>
      <c r="B410" s="1" t="s">
        <v>851</v>
      </c>
      <c r="C410" s="1" t="s">
        <v>41</v>
      </c>
      <c r="D410" s="1" t="s">
        <v>170</v>
      </c>
      <c r="E410" s="1" t="s">
        <v>854</v>
      </c>
      <c r="F410" s="1" t="s">
        <v>29</v>
      </c>
      <c r="G410" s="2">
        <v>45594</v>
      </c>
      <c r="H410" s="2">
        <v>45414</v>
      </c>
      <c r="I410" s="1" t="s">
        <v>20</v>
      </c>
      <c r="J410" s="1" t="s">
        <v>35</v>
      </c>
      <c r="K410" s="1" t="s">
        <v>36</v>
      </c>
      <c r="L410" s="1" t="s">
        <v>852</v>
      </c>
      <c r="M410" s="1" t="s">
        <v>97</v>
      </c>
      <c r="N410" s="1" t="s">
        <v>25</v>
      </c>
      <c r="O410" s="8">
        <v>30000</v>
      </c>
    </row>
    <row r="411" spans="1:15" ht="15.7" customHeight="1" x14ac:dyDescent="0.3">
      <c r="G411"/>
      <c r="H411"/>
    </row>
    <row r="412" spans="1:15" ht="15.7" customHeight="1" x14ac:dyDescent="0.3">
      <c r="G412"/>
      <c r="H412"/>
    </row>
    <row r="413" spans="1:15" ht="15.7" customHeight="1" x14ac:dyDescent="0.3"/>
    <row r="414" spans="1:15" ht="15.7" customHeight="1" x14ac:dyDescent="0.3"/>
    <row r="415" spans="1:15" ht="15.7" customHeight="1" x14ac:dyDescent="0.3"/>
    <row r="416" spans="1:15" ht="15.7" customHeight="1" x14ac:dyDescent="0.3"/>
    <row r="417" ht="15.7" customHeight="1" x14ac:dyDescent="0.3"/>
    <row r="418" ht="15.7" customHeight="1" x14ac:dyDescent="0.3"/>
    <row r="419" ht="15.7" customHeight="1" x14ac:dyDescent="0.3"/>
    <row r="420" ht="15.7" customHeight="1" x14ac:dyDescent="0.3"/>
    <row r="421" ht="15.7" customHeight="1" x14ac:dyDescent="0.3"/>
    <row r="422" ht="15.7" customHeight="1" x14ac:dyDescent="0.3"/>
    <row r="423" ht="15.7" customHeight="1" x14ac:dyDescent="0.3"/>
    <row r="424" ht="15.7" customHeight="1" x14ac:dyDescent="0.3"/>
    <row r="425" ht="15.7" customHeight="1" x14ac:dyDescent="0.3"/>
    <row r="426" ht="15.7" customHeight="1" x14ac:dyDescent="0.3"/>
    <row r="427" ht="15.7" customHeight="1" x14ac:dyDescent="0.3"/>
    <row r="428" ht="15.7" customHeight="1" x14ac:dyDescent="0.3"/>
    <row r="429" ht="15.7" customHeight="1" x14ac:dyDescent="0.3"/>
    <row r="430" ht="15.7" customHeight="1" x14ac:dyDescent="0.3"/>
    <row r="431" ht="15.7" customHeight="1" x14ac:dyDescent="0.3"/>
    <row r="432" ht="15.7" customHeight="1" x14ac:dyDescent="0.3"/>
    <row r="433" ht="15.7" customHeight="1" x14ac:dyDescent="0.3"/>
    <row r="434" ht="15.7" customHeight="1" x14ac:dyDescent="0.3"/>
    <row r="435" ht="15.7" customHeight="1" x14ac:dyDescent="0.3"/>
    <row r="436" ht="15.7" customHeight="1" x14ac:dyDescent="0.3"/>
    <row r="437" ht="15.7" customHeight="1" x14ac:dyDescent="0.3"/>
    <row r="438" ht="15.7" customHeight="1" x14ac:dyDescent="0.3"/>
    <row r="439" ht="15.7" customHeight="1" x14ac:dyDescent="0.3"/>
    <row r="440" ht="15.7" customHeight="1" x14ac:dyDescent="0.3"/>
    <row r="441" ht="15.7" customHeight="1" x14ac:dyDescent="0.3"/>
    <row r="442" ht="15.7" customHeight="1" x14ac:dyDescent="0.3"/>
    <row r="443" ht="15.7" customHeight="1" x14ac:dyDescent="0.3"/>
    <row r="444" ht="15.7" customHeight="1" x14ac:dyDescent="0.3"/>
    <row r="445" ht="15.7" customHeight="1" x14ac:dyDescent="0.3"/>
    <row r="446" ht="15.7" customHeight="1" x14ac:dyDescent="0.3"/>
    <row r="447" ht="15.7" customHeight="1" x14ac:dyDescent="0.3"/>
    <row r="448" ht="15.7" customHeight="1" x14ac:dyDescent="0.3"/>
    <row r="449" ht="15.7" customHeight="1" x14ac:dyDescent="0.3"/>
    <row r="450" ht="15.7" customHeight="1" x14ac:dyDescent="0.3"/>
    <row r="451" ht="15.7" customHeight="1" x14ac:dyDescent="0.3"/>
    <row r="452" ht="15.7" customHeight="1" x14ac:dyDescent="0.3"/>
    <row r="453" ht="15.7" customHeight="1" x14ac:dyDescent="0.3"/>
    <row r="454" ht="15.7" customHeight="1" x14ac:dyDescent="0.3"/>
    <row r="455" ht="15.7" customHeight="1" x14ac:dyDescent="0.3"/>
    <row r="456" ht="15.7" customHeight="1" x14ac:dyDescent="0.3"/>
    <row r="457" ht="15.7" customHeight="1" x14ac:dyDescent="0.3"/>
    <row r="458" ht="15.7" customHeight="1" x14ac:dyDescent="0.3"/>
    <row r="459" ht="15.7" customHeight="1" x14ac:dyDescent="0.3"/>
    <row r="460" ht="15.7" customHeight="1" x14ac:dyDescent="0.3"/>
    <row r="461" ht="15.7" customHeight="1" x14ac:dyDescent="0.3"/>
    <row r="462" ht="15.7" customHeight="1" x14ac:dyDescent="0.3"/>
    <row r="463" ht="15.7" customHeight="1" x14ac:dyDescent="0.3"/>
    <row r="464" ht="15.7" customHeight="1" x14ac:dyDescent="0.3"/>
    <row r="465" ht="15.7" customHeight="1" x14ac:dyDescent="0.3"/>
    <row r="466" ht="15.7" customHeight="1" x14ac:dyDescent="0.3"/>
    <row r="467" ht="15.7" customHeight="1" x14ac:dyDescent="0.3"/>
    <row r="468" ht="15.7" customHeight="1" x14ac:dyDescent="0.3"/>
    <row r="469" ht="15.7" customHeight="1" x14ac:dyDescent="0.3"/>
    <row r="470" ht="15.7" customHeight="1" x14ac:dyDescent="0.3"/>
    <row r="471" ht="15.7" customHeight="1" x14ac:dyDescent="0.3"/>
    <row r="472" ht="15.7" customHeight="1" x14ac:dyDescent="0.3"/>
    <row r="473" ht="15.7" customHeight="1" x14ac:dyDescent="0.3"/>
    <row r="474" ht="15.7" customHeight="1" x14ac:dyDescent="0.3"/>
    <row r="475" ht="15.7" customHeight="1" x14ac:dyDescent="0.3"/>
    <row r="476" ht="15.7" customHeight="1" x14ac:dyDescent="0.3"/>
    <row r="477" ht="15.7" customHeight="1" x14ac:dyDescent="0.3"/>
    <row r="478" ht="15.7" customHeight="1" x14ac:dyDescent="0.3"/>
    <row r="479" ht="15.7" customHeight="1" x14ac:dyDescent="0.3"/>
    <row r="480" ht="15.7" customHeight="1" x14ac:dyDescent="0.3"/>
    <row r="481" ht="15.7" customHeight="1" x14ac:dyDescent="0.3"/>
    <row r="482" ht="15.7" customHeight="1" x14ac:dyDescent="0.3"/>
    <row r="483" ht="15.7" customHeight="1" x14ac:dyDescent="0.3"/>
    <row r="484" ht="15.7" customHeight="1" x14ac:dyDescent="0.3"/>
    <row r="485" ht="15.7" customHeight="1" x14ac:dyDescent="0.3"/>
    <row r="486" ht="15.7" customHeight="1" x14ac:dyDescent="0.3"/>
    <row r="487" ht="15.7" customHeight="1" x14ac:dyDescent="0.3"/>
    <row r="488" ht="15.7" customHeight="1" x14ac:dyDescent="0.3"/>
    <row r="489" ht="15.7" customHeight="1" x14ac:dyDescent="0.3"/>
    <row r="490" ht="15.7" customHeight="1" x14ac:dyDescent="0.3"/>
    <row r="491" ht="15.7" customHeight="1" x14ac:dyDescent="0.3"/>
    <row r="492" ht="15.7" customHeight="1" x14ac:dyDescent="0.3"/>
    <row r="493" ht="15.7" customHeight="1" x14ac:dyDescent="0.3"/>
    <row r="494" ht="15.7" customHeight="1" x14ac:dyDescent="0.3"/>
    <row r="495" ht="15.7" customHeight="1" x14ac:dyDescent="0.3"/>
    <row r="496" ht="15.7" customHeight="1" x14ac:dyDescent="0.3"/>
    <row r="497" ht="15.7" customHeight="1" x14ac:dyDescent="0.3"/>
    <row r="498" ht="15.7" customHeight="1" x14ac:dyDescent="0.3"/>
    <row r="499" ht="15.7" customHeight="1" x14ac:dyDescent="0.3"/>
    <row r="500" ht="15.7" customHeight="1" x14ac:dyDescent="0.3"/>
    <row r="501" ht="15.7" customHeight="1" x14ac:dyDescent="0.3"/>
    <row r="502" ht="15.7" customHeight="1" x14ac:dyDescent="0.3"/>
    <row r="503" ht="15.7" customHeight="1" x14ac:dyDescent="0.3"/>
    <row r="504" ht="15.7" customHeight="1" x14ac:dyDescent="0.3"/>
    <row r="505" ht="15.7" customHeight="1" x14ac:dyDescent="0.3"/>
    <row r="506" ht="15.7" customHeight="1" x14ac:dyDescent="0.3"/>
    <row r="507" ht="15.7" customHeight="1" x14ac:dyDescent="0.3"/>
    <row r="508" ht="15.7" customHeight="1" x14ac:dyDescent="0.3"/>
    <row r="509" ht="15.7" customHeight="1" x14ac:dyDescent="0.3"/>
    <row r="510" ht="15.7" customHeight="1" x14ac:dyDescent="0.3"/>
    <row r="511" ht="15.7" customHeight="1" x14ac:dyDescent="0.3"/>
    <row r="512" ht="15.7" customHeight="1" x14ac:dyDescent="0.3"/>
    <row r="513" ht="15.7" customHeight="1" x14ac:dyDescent="0.3"/>
    <row r="514" ht="15.7" customHeight="1" x14ac:dyDescent="0.3"/>
    <row r="515" ht="15.7" customHeight="1" x14ac:dyDescent="0.3"/>
    <row r="516" ht="15.7" customHeight="1" x14ac:dyDescent="0.3"/>
    <row r="517" ht="15.7" customHeight="1" x14ac:dyDescent="0.3"/>
    <row r="518" ht="15.7" customHeight="1" x14ac:dyDescent="0.3"/>
    <row r="519" ht="15.7" customHeight="1" x14ac:dyDescent="0.3"/>
    <row r="520" ht="15.7" customHeight="1" x14ac:dyDescent="0.3"/>
    <row r="521" ht="15.7" customHeight="1" x14ac:dyDescent="0.3"/>
    <row r="522" ht="15.7" customHeight="1" x14ac:dyDescent="0.3"/>
    <row r="523" ht="15.7" customHeight="1" x14ac:dyDescent="0.3"/>
    <row r="524" ht="15.7" customHeight="1" x14ac:dyDescent="0.3"/>
    <row r="525" ht="15.7" customHeight="1" x14ac:dyDescent="0.3"/>
    <row r="526" ht="15.7" customHeight="1" x14ac:dyDescent="0.3"/>
    <row r="527" ht="15.7" customHeight="1" x14ac:dyDescent="0.3"/>
    <row r="528" ht="15.7" customHeight="1" x14ac:dyDescent="0.3"/>
    <row r="529" ht="15.7" customHeight="1" x14ac:dyDescent="0.3"/>
    <row r="530" ht="15.7" customHeight="1" x14ac:dyDescent="0.3"/>
    <row r="531" ht="15.7" customHeight="1" x14ac:dyDescent="0.3"/>
    <row r="532" ht="15.7" customHeight="1" x14ac:dyDescent="0.3"/>
    <row r="533" ht="15.7" customHeight="1" x14ac:dyDescent="0.3"/>
    <row r="534" ht="15.7" customHeight="1" x14ac:dyDescent="0.3"/>
    <row r="535" ht="15.7" customHeight="1" x14ac:dyDescent="0.3"/>
    <row r="536" ht="15.7" customHeight="1" x14ac:dyDescent="0.3"/>
    <row r="537" ht="15.7" customHeight="1" x14ac:dyDescent="0.3"/>
    <row r="538" ht="15.7" customHeight="1" x14ac:dyDescent="0.3"/>
    <row r="539" ht="15.7" customHeight="1" x14ac:dyDescent="0.3"/>
    <row r="540" ht="15.7" customHeight="1" x14ac:dyDescent="0.3"/>
    <row r="541" ht="15.7" customHeight="1" x14ac:dyDescent="0.3"/>
    <row r="542" ht="15.7" customHeight="1" x14ac:dyDescent="0.3"/>
    <row r="543" ht="15.7" customHeight="1" x14ac:dyDescent="0.3"/>
    <row r="544" ht="15.7" customHeight="1" x14ac:dyDescent="0.3"/>
    <row r="545" ht="15.7" customHeight="1" x14ac:dyDescent="0.3"/>
    <row r="546" ht="15.7" customHeight="1" x14ac:dyDescent="0.3"/>
    <row r="547" ht="15.7" customHeight="1" x14ac:dyDescent="0.3"/>
    <row r="548" ht="15.7" customHeight="1" x14ac:dyDescent="0.3"/>
    <row r="549" ht="15.7" customHeight="1" x14ac:dyDescent="0.3"/>
    <row r="550" ht="15.7" customHeight="1" x14ac:dyDescent="0.3"/>
    <row r="551" ht="15.7" customHeight="1" x14ac:dyDescent="0.3"/>
    <row r="552" ht="15.7" customHeight="1" x14ac:dyDescent="0.3"/>
    <row r="553" ht="15.7" customHeight="1" x14ac:dyDescent="0.3"/>
    <row r="554" ht="15.7" customHeight="1" x14ac:dyDescent="0.3"/>
    <row r="555" ht="15.7" customHeight="1" x14ac:dyDescent="0.3"/>
    <row r="556" ht="15.7" customHeight="1" x14ac:dyDescent="0.3"/>
    <row r="557" ht="15.7" customHeight="1" x14ac:dyDescent="0.3"/>
    <row r="558" ht="15.7" customHeight="1" x14ac:dyDescent="0.3"/>
    <row r="559" ht="15.7" customHeight="1" x14ac:dyDescent="0.3"/>
    <row r="560" ht="15.7" customHeight="1" x14ac:dyDescent="0.3"/>
    <row r="561" ht="15.7" customHeight="1" x14ac:dyDescent="0.3"/>
    <row r="562" ht="15.7" customHeight="1" x14ac:dyDescent="0.3"/>
    <row r="563" ht="15.7" customHeight="1" x14ac:dyDescent="0.3"/>
    <row r="564" ht="15.7" customHeight="1" x14ac:dyDescent="0.3"/>
    <row r="565" ht="15.7" customHeight="1" x14ac:dyDescent="0.3"/>
    <row r="566" ht="15.7" customHeight="1" x14ac:dyDescent="0.3"/>
    <row r="567" ht="15.7" customHeight="1" x14ac:dyDescent="0.3"/>
    <row r="568" ht="15.7" customHeight="1" x14ac:dyDescent="0.3"/>
    <row r="569" ht="15.7" customHeight="1" x14ac:dyDescent="0.3"/>
    <row r="570" ht="15.7" customHeight="1" x14ac:dyDescent="0.3"/>
    <row r="571" ht="15.7" customHeight="1" x14ac:dyDescent="0.3"/>
    <row r="572" ht="15.7" customHeight="1" x14ac:dyDescent="0.3"/>
    <row r="573" ht="15.7" customHeight="1" x14ac:dyDescent="0.3"/>
    <row r="574" ht="15.7" customHeight="1" x14ac:dyDescent="0.3"/>
    <row r="575" ht="15.7" customHeight="1" x14ac:dyDescent="0.3"/>
    <row r="576" ht="15.7" customHeight="1" x14ac:dyDescent="0.3"/>
    <row r="577" ht="15.7" customHeight="1" x14ac:dyDescent="0.3"/>
    <row r="578" ht="15.7" customHeight="1" x14ac:dyDescent="0.3"/>
    <row r="579" ht="15.7" customHeight="1" x14ac:dyDescent="0.3"/>
    <row r="580" ht="15.7" customHeight="1" x14ac:dyDescent="0.3"/>
    <row r="581" ht="15.7" customHeight="1" x14ac:dyDescent="0.3"/>
    <row r="582" ht="15.7" customHeight="1" x14ac:dyDescent="0.3"/>
    <row r="583" ht="15.7" customHeight="1" x14ac:dyDescent="0.3"/>
    <row r="584" ht="15.7" customHeight="1" x14ac:dyDescent="0.3"/>
    <row r="585" ht="15.7" customHeight="1" x14ac:dyDescent="0.3"/>
    <row r="586" ht="15.7" customHeight="1" x14ac:dyDescent="0.3"/>
    <row r="587" ht="15.7" customHeight="1" x14ac:dyDescent="0.3"/>
    <row r="588" ht="15.7" customHeight="1" x14ac:dyDescent="0.3"/>
    <row r="589" ht="15.7" customHeight="1" x14ac:dyDescent="0.3"/>
    <row r="590" ht="15.7" customHeight="1" x14ac:dyDescent="0.3"/>
    <row r="591" ht="15.7" customHeight="1" x14ac:dyDescent="0.3"/>
    <row r="592" ht="15.7" customHeight="1" x14ac:dyDescent="0.3"/>
    <row r="593" ht="15.7" customHeight="1" x14ac:dyDescent="0.3"/>
    <row r="594" ht="15.7" customHeight="1" x14ac:dyDescent="0.3"/>
    <row r="595" ht="15.7" customHeight="1" x14ac:dyDescent="0.3"/>
    <row r="596" ht="15.7" customHeight="1" x14ac:dyDescent="0.3"/>
    <row r="597" ht="15.7" customHeight="1" x14ac:dyDescent="0.3"/>
    <row r="598" ht="15.7" customHeight="1" x14ac:dyDescent="0.3"/>
    <row r="599" ht="15.7" customHeight="1" x14ac:dyDescent="0.3"/>
    <row r="600" ht="15.7" customHeight="1" x14ac:dyDescent="0.3"/>
    <row r="601" ht="15.7" customHeight="1" x14ac:dyDescent="0.3"/>
    <row r="602" ht="15.7" customHeight="1" x14ac:dyDescent="0.3"/>
    <row r="603" ht="15.7" customHeight="1" x14ac:dyDescent="0.3"/>
    <row r="604" ht="15.7" customHeight="1" x14ac:dyDescent="0.3"/>
    <row r="605" ht="15.7" customHeight="1" x14ac:dyDescent="0.3"/>
    <row r="606" ht="15.7" customHeight="1" x14ac:dyDescent="0.3"/>
    <row r="607" ht="15.7" customHeight="1" x14ac:dyDescent="0.3"/>
    <row r="608" ht="15.7" customHeight="1" x14ac:dyDescent="0.3"/>
    <row r="609" ht="15.7" customHeight="1" x14ac:dyDescent="0.3"/>
    <row r="610" ht="15.7" customHeight="1" x14ac:dyDescent="0.3"/>
    <row r="611" ht="15.7" customHeight="1" x14ac:dyDescent="0.3"/>
    <row r="612" ht="15.7" customHeight="1" x14ac:dyDescent="0.3"/>
    <row r="613" ht="15.7" customHeight="1" x14ac:dyDescent="0.3"/>
    <row r="614" ht="15.7" customHeight="1" x14ac:dyDescent="0.3"/>
    <row r="615" ht="15.7" customHeight="1" x14ac:dyDescent="0.3"/>
    <row r="616" ht="15.7" customHeight="1" x14ac:dyDescent="0.3"/>
    <row r="617" ht="15.7" customHeight="1" x14ac:dyDescent="0.3"/>
    <row r="618" ht="15.7" customHeight="1" x14ac:dyDescent="0.3"/>
    <row r="619" ht="15.7" customHeight="1" x14ac:dyDescent="0.3"/>
    <row r="620" ht="15.7" customHeight="1" x14ac:dyDescent="0.3"/>
    <row r="621" ht="15.7" customHeight="1" x14ac:dyDescent="0.3"/>
    <row r="622" ht="15.7" customHeight="1" x14ac:dyDescent="0.3"/>
    <row r="623" ht="15.7" customHeight="1" x14ac:dyDescent="0.3"/>
    <row r="624" ht="15.7" customHeight="1" x14ac:dyDescent="0.3"/>
    <row r="625" ht="15.7" customHeight="1" x14ac:dyDescent="0.3"/>
    <row r="626" ht="15.7" customHeight="1" x14ac:dyDescent="0.3"/>
    <row r="627" ht="15.7" customHeight="1" x14ac:dyDescent="0.3"/>
    <row r="628" ht="15.7" customHeight="1" x14ac:dyDescent="0.3"/>
    <row r="629" ht="15.7" customHeight="1" x14ac:dyDescent="0.3"/>
    <row r="630" ht="15.7" customHeight="1" x14ac:dyDescent="0.3"/>
    <row r="631" ht="15.7" customHeight="1" x14ac:dyDescent="0.3"/>
    <row r="632" ht="15.7" customHeight="1" x14ac:dyDescent="0.3"/>
    <row r="633" ht="15.7" customHeight="1" x14ac:dyDescent="0.3"/>
    <row r="634" ht="15.7" customHeight="1" x14ac:dyDescent="0.3"/>
    <row r="635" ht="15.7" customHeight="1" x14ac:dyDescent="0.3"/>
    <row r="636" ht="15.7" customHeight="1" x14ac:dyDescent="0.3"/>
    <row r="637" ht="15.7" customHeight="1" x14ac:dyDescent="0.3"/>
    <row r="638" ht="15.7" customHeight="1" x14ac:dyDescent="0.3"/>
    <row r="639" ht="15.7" customHeight="1" x14ac:dyDescent="0.3"/>
    <row r="640" ht="15.7" customHeight="1" x14ac:dyDescent="0.3"/>
    <row r="641" ht="15.7" customHeight="1" x14ac:dyDescent="0.3"/>
    <row r="642" ht="15.7" customHeight="1" x14ac:dyDescent="0.3"/>
    <row r="643" ht="15.7" customHeight="1" x14ac:dyDescent="0.3"/>
    <row r="644" ht="15.7" customHeight="1" x14ac:dyDescent="0.3"/>
    <row r="645" ht="15.7" customHeight="1" x14ac:dyDescent="0.3"/>
    <row r="646" ht="15.7" customHeight="1" x14ac:dyDescent="0.3"/>
    <row r="647" ht="15.7" customHeight="1" x14ac:dyDescent="0.3"/>
    <row r="648" ht="15.7" customHeight="1" x14ac:dyDescent="0.3"/>
    <row r="649" ht="15.7" customHeight="1" x14ac:dyDescent="0.3"/>
    <row r="650" ht="15.7" customHeight="1" x14ac:dyDescent="0.3"/>
    <row r="651" ht="15.7" customHeight="1" x14ac:dyDescent="0.3"/>
    <row r="652" ht="15.7" customHeight="1" x14ac:dyDescent="0.3"/>
    <row r="653" ht="15.7" customHeight="1" x14ac:dyDescent="0.3"/>
    <row r="654" ht="15.7" customHeight="1" x14ac:dyDescent="0.3"/>
    <row r="655" ht="15.7" customHeight="1" x14ac:dyDescent="0.3"/>
    <row r="656" ht="15.7" customHeight="1" x14ac:dyDescent="0.3"/>
    <row r="657" ht="15.7" customHeight="1" x14ac:dyDescent="0.3"/>
    <row r="658" ht="15.7" customHeight="1" x14ac:dyDescent="0.3"/>
    <row r="659" ht="15.7" customHeight="1" x14ac:dyDescent="0.3"/>
    <row r="660" ht="15.7" customHeight="1" x14ac:dyDescent="0.3"/>
    <row r="661" ht="15.7" customHeight="1" x14ac:dyDescent="0.3"/>
    <row r="662" ht="15.7" customHeight="1" x14ac:dyDescent="0.3"/>
    <row r="663" ht="15.7" customHeight="1" x14ac:dyDescent="0.3"/>
    <row r="664" ht="15.7" customHeight="1" x14ac:dyDescent="0.3"/>
    <row r="665" ht="15.7" customHeight="1" x14ac:dyDescent="0.3"/>
    <row r="666" ht="15.7" customHeight="1" x14ac:dyDescent="0.3"/>
    <row r="667" ht="15.7" customHeight="1" x14ac:dyDescent="0.3"/>
    <row r="668" ht="15.7" customHeight="1" x14ac:dyDescent="0.3"/>
    <row r="669" ht="15.7" customHeight="1" x14ac:dyDescent="0.3"/>
    <row r="670" ht="15.7" customHeight="1" x14ac:dyDescent="0.3"/>
    <row r="671" ht="15.7" customHeight="1" x14ac:dyDescent="0.3"/>
    <row r="672" ht="15.7" customHeight="1" x14ac:dyDescent="0.3"/>
    <row r="673" ht="15.7" customHeight="1" x14ac:dyDescent="0.3"/>
    <row r="674" ht="15.7" customHeight="1" x14ac:dyDescent="0.3"/>
    <row r="675" ht="15.7" customHeight="1" x14ac:dyDescent="0.3"/>
    <row r="676" ht="15.7" customHeight="1" x14ac:dyDescent="0.3"/>
    <row r="677" ht="15.7" customHeight="1" x14ac:dyDescent="0.3"/>
    <row r="678" ht="15.7" customHeight="1" x14ac:dyDescent="0.3"/>
    <row r="679" ht="15.7" customHeight="1" x14ac:dyDescent="0.3"/>
    <row r="680" ht="15.7" customHeight="1" x14ac:dyDescent="0.3"/>
    <row r="681" ht="15.7" customHeight="1" x14ac:dyDescent="0.3"/>
    <row r="682" ht="15.7" customHeight="1" x14ac:dyDescent="0.3"/>
    <row r="683" ht="15.7" customHeight="1" x14ac:dyDescent="0.3"/>
    <row r="684" ht="15.7" customHeight="1" x14ac:dyDescent="0.3"/>
    <row r="685" ht="15.7" customHeight="1" x14ac:dyDescent="0.3"/>
    <row r="686" ht="15.7" customHeight="1" x14ac:dyDescent="0.3"/>
    <row r="687" ht="15.7" customHeight="1" x14ac:dyDescent="0.3"/>
    <row r="688" ht="15.7" customHeight="1" x14ac:dyDescent="0.3"/>
    <row r="689" ht="15.7" customHeight="1" x14ac:dyDescent="0.3"/>
    <row r="690" ht="15.7" customHeight="1" x14ac:dyDescent="0.3"/>
    <row r="691" ht="15.7" customHeight="1" x14ac:dyDescent="0.3"/>
    <row r="692" ht="15.7" customHeight="1" x14ac:dyDescent="0.3"/>
    <row r="693" ht="15.7" customHeight="1" x14ac:dyDescent="0.3"/>
    <row r="694" ht="15.7" customHeight="1" x14ac:dyDescent="0.3"/>
    <row r="695" ht="15.7" customHeight="1" x14ac:dyDescent="0.3"/>
    <row r="696" ht="15.7" customHeight="1" x14ac:dyDescent="0.3"/>
    <row r="697" ht="15.7" customHeight="1" x14ac:dyDescent="0.3"/>
    <row r="698" ht="15.7" customHeight="1" x14ac:dyDescent="0.3"/>
    <row r="699" ht="15.7" customHeight="1" x14ac:dyDescent="0.3"/>
    <row r="700" ht="15.7" customHeight="1" x14ac:dyDescent="0.3"/>
    <row r="701" ht="15.7" customHeight="1" x14ac:dyDescent="0.3"/>
    <row r="702" ht="15.7" customHeight="1" x14ac:dyDescent="0.3"/>
    <row r="703" ht="15.7" customHeight="1" x14ac:dyDescent="0.3"/>
    <row r="704" ht="15.7" customHeight="1" x14ac:dyDescent="0.3"/>
    <row r="705" ht="15.7" customHeight="1" x14ac:dyDescent="0.3"/>
    <row r="706" ht="15.7" customHeight="1" x14ac:dyDescent="0.3"/>
    <row r="707" ht="15.7" customHeight="1" x14ac:dyDescent="0.3"/>
    <row r="708" ht="15.7" customHeight="1" x14ac:dyDescent="0.3"/>
    <row r="709" ht="15.7" customHeight="1" x14ac:dyDescent="0.3"/>
    <row r="710" ht="15.7" customHeight="1" x14ac:dyDescent="0.3"/>
    <row r="711" ht="15.7" customHeight="1" x14ac:dyDescent="0.3"/>
    <row r="712" ht="15.7" customHeight="1" x14ac:dyDescent="0.3"/>
    <row r="713" ht="15.7" customHeight="1" x14ac:dyDescent="0.3"/>
    <row r="714" ht="15.7" customHeight="1" x14ac:dyDescent="0.3"/>
    <row r="715" ht="15.7" customHeight="1" x14ac:dyDescent="0.3"/>
    <row r="716" ht="15.7" customHeight="1" x14ac:dyDescent="0.3"/>
    <row r="717" ht="15.7" customHeight="1" x14ac:dyDescent="0.3"/>
    <row r="718" ht="15.7" customHeight="1" x14ac:dyDescent="0.3"/>
    <row r="719" ht="15.7" customHeight="1" x14ac:dyDescent="0.3"/>
    <row r="720" ht="15.7" customHeight="1" x14ac:dyDescent="0.3"/>
    <row r="721" ht="15.7" customHeight="1" x14ac:dyDescent="0.3"/>
    <row r="722" ht="15.7" customHeight="1" x14ac:dyDescent="0.3"/>
    <row r="723" ht="15.7" customHeight="1" x14ac:dyDescent="0.3"/>
    <row r="724" ht="15.7" customHeight="1" x14ac:dyDescent="0.3"/>
    <row r="725" ht="15.7" customHeight="1" x14ac:dyDescent="0.3"/>
    <row r="726" ht="15.7" customHeight="1" x14ac:dyDescent="0.3"/>
    <row r="727" ht="15.7" customHeight="1" x14ac:dyDescent="0.3"/>
    <row r="728" ht="15.7" customHeight="1" x14ac:dyDescent="0.3"/>
    <row r="729" ht="15.7" customHeight="1" x14ac:dyDescent="0.3"/>
    <row r="730" ht="15.7" customHeight="1" x14ac:dyDescent="0.3"/>
    <row r="731" ht="15.7" customHeight="1" x14ac:dyDescent="0.3"/>
    <row r="732" ht="15.7" customHeight="1" x14ac:dyDescent="0.3"/>
    <row r="733" ht="15.7" customHeight="1" x14ac:dyDescent="0.3"/>
    <row r="734" ht="15.7" customHeight="1" x14ac:dyDescent="0.3"/>
    <row r="735" ht="15.7" customHeight="1" x14ac:dyDescent="0.3"/>
    <row r="736" ht="15.7" customHeight="1" x14ac:dyDescent="0.3"/>
    <row r="737" ht="15.7" customHeight="1" x14ac:dyDescent="0.3"/>
    <row r="738" ht="15.7" customHeight="1" x14ac:dyDescent="0.3"/>
    <row r="739" ht="15.7" customHeight="1" x14ac:dyDescent="0.3"/>
    <row r="740" ht="15.7" customHeight="1" x14ac:dyDescent="0.3"/>
    <row r="741" ht="15.7" customHeight="1" x14ac:dyDescent="0.3"/>
    <row r="742" ht="15.7" customHeight="1" x14ac:dyDescent="0.3"/>
    <row r="743" ht="15.7" customHeight="1" x14ac:dyDescent="0.3"/>
    <row r="744" ht="15.7" customHeight="1" x14ac:dyDescent="0.3"/>
    <row r="745" ht="15.7" customHeight="1" x14ac:dyDescent="0.3"/>
    <row r="746" ht="15.7" customHeight="1" x14ac:dyDescent="0.3"/>
    <row r="747" ht="15.7" customHeight="1" x14ac:dyDescent="0.3"/>
    <row r="748" ht="15.7" customHeight="1" x14ac:dyDescent="0.3"/>
    <row r="749" ht="15.7" customHeight="1" x14ac:dyDescent="0.3"/>
    <row r="750" ht="15.7" customHeight="1" x14ac:dyDescent="0.3"/>
    <row r="751" ht="15.7" customHeight="1" x14ac:dyDescent="0.3"/>
    <row r="752" ht="15.7" customHeight="1" x14ac:dyDescent="0.3"/>
    <row r="753" ht="15.7" customHeight="1" x14ac:dyDescent="0.3"/>
    <row r="754" ht="15.7" customHeight="1" x14ac:dyDescent="0.3"/>
    <row r="755" ht="15.7" customHeight="1" x14ac:dyDescent="0.3"/>
    <row r="756" ht="15.7" customHeight="1" x14ac:dyDescent="0.3"/>
    <row r="757" ht="15.7" customHeight="1" x14ac:dyDescent="0.3"/>
    <row r="758" ht="15.7" customHeight="1" x14ac:dyDescent="0.3"/>
    <row r="759" ht="15.7" customHeight="1" x14ac:dyDescent="0.3"/>
    <row r="760" ht="15.7" customHeight="1" x14ac:dyDescent="0.3"/>
    <row r="761" ht="15.7" customHeight="1" x14ac:dyDescent="0.3"/>
    <row r="762" ht="15.7" customHeight="1" x14ac:dyDescent="0.3"/>
    <row r="763" ht="15.7" customHeight="1" x14ac:dyDescent="0.3"/>
    <row r="764" ht="15.7" customHeight="1" x14ac:dyDescent="0.3"/>
    <row r="765" ht="15.7" customHeight="1" x14ac:dyDescent="0.3"/>
    <row r="766" ht="15.7" customHeight="1" x14ac:dyDescent="0.3"/>
    <row r="767" ht="15.7" customHeight="1" x14ac:dyDescent="0.3"/>
    <row r="768" ht="15.7" customHeight="1" x14ac:dyDescent="0.3"/>
    <row r="769" ht="15.7" customHeight="1" x14ac:dyDescent="0.3"/>
    <row r="770" ht="15.7" customHeight="1" x14ac:dyDescent="0.3"/>
    <row r="771" ht="15.7" customHeight="1" x14ac:dyDescent="0.3"/>
    <row r="772" ht="15.7" customHeight="1" x14ac:dyDescent="0.3"/>
    <row r="773" ht="15.7" customHeight="1" x14ac:dyDescent="0.3"/>
    <row r="774" ht="15.7" customHeight="1" x14ac:dyDescent="0.3"/>
    <row r="775" ht="15.7" customHeight="1" x14ac:dyDescent="0.3"/>
    <row r="776" ht="15.7" customHeight="1" x14ac:dyDescent="0.3"/>
    <row r="777" ht="15.7" customHeight="1" x14ac:dyDescent="0.3"/>
    <row r="778" ht="15.7" customHeight="1" x14ac:dyDescent="0.3"/>
    <row r="779" ht="15.7" customHeight="1" x14ac:dyDescent="0.3"/>
    <row r="780" ht="15.7" customHeight="1" x14ac:dyDescent="0.3"/>
    <row r="781" ht="15.7" customHeight="1" x14ac:dyDescent="0.3"/>
    <row r="782" ht="15.7" customHeight="1" x14ac:dyDescent="0.3"/>
    <row r="783" ht="15.7" customHeight="1" x14ac:dyDescent="0.3"/>
    <row r="784" ht="15.7" customHeight="1" x14ac:dyDescent="0.3"/>
    <row r="785" ht="15.7" customHeight="1" x14ac:dyDescent="0.3"/>
    <row r="786" ht="15.7" customHeight="1" x14ac:dyDescent="0.3"/>
    <row r="787" ht="15.7" customHeight="1" x14ac:dyDescent="0.3"/>
    <row r="788" ht="15.7" customHeight="1" x14ac:dyDescent="0.3"/>
    <row r="789" ht="15.7" customHeight="1" x14ac:dyDescent="0.3"/>
    <row r="790" ht="15.7" customHeight="1" x14ac:dyDescent="0.3"/>
    <row r="791" ht="15.7" customHeight="1" x14ac:dyDescent="0.3"/>
    <row r="792" ht="15.7" customHeight="1" x14ac:dyDescent="0.3"/>
    <row r="793" ht="15.7" customHeight="1" x14ac:dyDescent="0.3"/>
    <row r="794" ht="15.7" customHeight="1" x14ac:dyDescent="0.3"/>
    <row r="795" ht="15.7" customHeight="1" x14ac:dyDescent="0.3"/>
    <row r="796" ht="15.7" customHeight="1" x14ac:dyDescent="0.3"/>
    <row r="797" ht="15.7" customHeight="1" x14ac:dyDescent="0.3"/>
    <row r="798" ht="15.7" customHeight="1" x14ac:dyDescent="0.3"/>
    <row r="799" ht="15.7" customHeight="1" x14ac:dyDescent="0.3"/>
    <row r="800" ht="15.7" customHeight="1" x14ac:dyDescent="0.3"/>
    <row r="801" ht="15.7" customHeight="1" x14ac:dyDescent="0.3"/>
    <row r="802" ht="15.7" customHeight="1" x14ac:dyDescent="0.3"/>
    <row r="803" ht="15.7" customHeight="1" x14ac:dyDescent="0.3"/>
    <row r="804" ht="15.7" customHeight="1" x14ac:dyDescent="0.3"/>
    <row r="805" ht="15.7" customHeight="1" x14ac:dyDescent="0.3"/>
    <row r="806" ht="15.7" customHeight="1" x14ac:dyDescent="0.3"/>
    <row r="807" ht="15.7" customHeight="1" x14ac:dyDescent="0.3"/>
    <row r="808" ht="15.7" customHeight="1" x14ac:dyDescent="0.3"/>
    <row r="809" ht="15.7" customHeight="1" x14ac:dyDescent="0.3"/>
    <row r="810" ht="15.7" customHeight="1" x14ac:dyDescent="0.3"/>
    <row r="811" ht="15.7" customHeight="1" x14ac:dyDescent="0.3"/>
    <row r="812" ht="15.7" customHeight="1" x14ac:dyDescent="0.3"/>
    <row r="813" ht="15.7" customHeight="1" x14ac:dyDescent="0.3"/>
    <row r="814" ht="15.7" customHeight="1" x14ac:dyDescent="0.3"/>
    <row r="815" ht="15.7" customHeight="1" x14ac:dyDescent="0.3"/>
    <row r="816" ht="15.7" customHeight="1" x14ac:dyDescent="0.3"/>
    <row r="817" ht="15.7" customHeight="1" x14ac:dyDescent="0.3"/>
    <row r="818" ht="15.7" customHeight="1" x14ac:dyDescent="0.3"/>
    <row r="819" ht="15.7" customHeight="1" x14ac:dyDescent="0.3"/>
    <row r="820" ht="15.7" customHeight="1" x14ac:dyDescent="0.3"/>
    <row r="821" ht="15.7" customHeight="1" x14ac:dyDescent="0.3"/>
    <row r="822" ht="15.7" customHeight="1" x14ac:dyDescent="0.3"/>
    <row r="823" ht="15.7" customHeight="1" x14ac:dyDescent="0.3"/>
    <row r="824" ht="15.7" customHeight="1" x14ac:dyDescent="0.3"/>
    <row r="825" ht="15.7" customHeight="1" x14ac:dyDescent="0.3"/>
    <row r="826" ht="15.7" customHeight="1" x14ac:dyDescent="0.3"/>
    <row r="827" ht="15.7" customHeight="1" x14ac:dyDescent="0.3"/>
    <row r="828" ht="15.7" customHeight="1" x14ac:dyDescent="0.3"/>
    <row r="829" ht="15.7" customHeight="1" x14ac:dyDescent="0.3"/>
    <row r="830" ht="15.7" customHeight="1" x14ac:dyDescent="0.3"/>
    <row r="831" ht="15.7" customHeight="1" x14ac:dyDescent="0.3"/>
    <row r="832" ht="15.7" customHeight="1" x14ac:dyDescent="0.3"/>
    <row r="833" ht="15.7" customHeight="1" x14ac:dyDescent="0.3"/>
    <row r="834" ht="15.7" customHeight="1" x14ac:dyDescent="0.3"/>
    <row r="835" ht="15.7" customHeight="1" x14ac:dyDescent="0.3"/>
    <row r="836" ht="15.7" customHeight="1" x14ac:dyDescent="0.3"/>
    <row r="837" ht="15.7" customHeight="1" x14ac:dyDescent="0.3"/>
    <row r="838" ht="15.7" customHeight="1" x14ac:dyDescent="0.3"/>
    <row r="839" ht="15.7" customHeight="1" x14ac:dyDescent="0.3"/>
    <row r="840" ht="15.7" customHeight="1" x14ac:dyDescent="0.3"/>
    <row r="841" ht="15.7" customHeight="1" x14ac:dyDescent="0.3"/>
    <row r="842" ht="15.7" customHeight="1" x14ac:dyDescent="0.3"/>
    <row r="843" ht="15.7" customHeight="1" x14ac:dyDescent="0.3"/>
    <row r="844" ht="15.7" customHeight="1" x14ac:dyDescent="0.3"/>
    <row r="845" ht="15.7" customHeight="1" x14ac:dyDescent="0.3"/>
    <row r="846" ht="15.7" customHeight="1" x14ac:dyDescent="0.3"/>
    <row r="847" ht="15.7" customHeight="1" x14ac:dyDescent="0.3"/>
    <row r="848" ht="15.7" customHeight="1" x14ac:dyDescent="0.3"/>
    <row r="849" ht="15.7" customHeight="1" x14ac:dyDescent="0.3"/>
    <row r="850" ht="15.7" customHeight="1" x14ac:dyDescent="0.3"/>
    <row r="851" ht="15.7" customHeight="1" x14ac:dyDescent="0.3"/>
    <row r="852" ht="15.7" customHeight="1" x14ac:dyDescent="0.3"/>
    <row r="853" ht="15.7" customHeight="1" x14ac:dyDescent="0.3"/>
    <row r="854" ht="15.7" customHeight="1" x14ac:dyDescent="0.3"/>
    <row r="855" ht="15.7" customHeight="1" x14ac:dyDescent="0.3"/>
    <row r="856" ht="15.7" customHeight="1" x14ac:dyDescent="0.3"/>
    <row r="857" ht="15.7" customHeight="1" x14ac:dyDescent="0.3"/>
    <row r="858" ht="15.7" customHeight="1" x14ac:dyDescent="0.3"/>
    <row r="859" ht="15.7" customHeight="1" x14ac:dyDescent="0.3"/>
    <row r="860" ht="15.7" customHeight="1" x14ac:dyDescent="0.3"/>
    <row r="861" ht="15.7" customHeight="1" x14ac:dyDescent="0.3"/>
    <row r="862" ht="15.7" customHeight="1" x14ac:dyDescent="0.3"/>
    <row r="863" ht="15.7" customHeight="1" x14ac:dyDescent="0.3"/>
    <row r="864" ht="15.7" customHeight="1" x14ac:dyDescent="0.3"/>
    <row r="865" ht="15.7" customHeight="1" x14ac:dyDescent="0.3"/>
    <row r="866" ht="15.7" customHeight="1" x14ac:dyDescent="0.3"/>
    <row r="867" ht="15.7" customHeight="1" x14ac:dyDescent="0.3"/>
    <row r="868" ht="15.7" customHeight="1" x14ac:dyDescent="0.3"/>
    <row r="869" ht="15.7" customHeight="1" x14ac:dyDescent="0.3"/>
    <row r="870" ht="15.7" customHeight="1" x14ac:dyDescent="0.3"/>
    <row r="871" ht="15.7" customHeight="1" x14ac:dyDescent="0.3"/>
    <row r="872" ht="15.7" customHeight="1" x14ac:dyDescent="0.3"/>
    <row r="873" ht="15.7" customHeight="1" x14ac:dyDescent="0.3"/>
    <row r="874" ht="15.7" customHeight="1" x14ac:dyDescent="0.3"/>
    <row r="875" ht="15.7" customHeight="1" x14ac:dyDescent="0.3"/>
    <row r="876" ht="15.7" customHeight="1" x14ac:dyDescent="0.3"/>
    <row r="877" ht="15.7" customHeight="1" x14ac:dyDescent="0.3"/>
    <row r="878" ht="15.7" customHeight="1" x14ac:dyDescent="0.3"/>
    <row r="879" ht="15.7" customHeight="1" x14ac:dyDescent="0.3"/>
    <row r="880" ht="15.7" customHeight="1" x14ac:dyDescent="0.3"/>
    <row r="881" ht="15.7" customHeight="1" x14ac:dyDescent="0.3"/>
    <row r="882" ht="15.7" customHeight="1" x14ac:dyDescent="0.3"/>
    <row r="883" ht="15.7" customHeight="1" x14ac:dyDescent="0.3"/>
    <row r="884" ht="15.7" customHeight="1" x14ac:dyDescent="0.3"/>
    <row r="885" ht="15.7" customHeight="1" x14ac:dyDescent="0.3"/>
    <row r="886" ht="15.7" customHeight="1" x14ac:dyDescent="0.3"/>
    <row r="887" ht="15.7" customHeight="1" x14ac:dyDescent="0.3"/>
    <row r="888" ht="15.7" customHeight="1" x14ac:dyDescent="0.3"/>
    <row r="889" ht="15.7" customHeight="1" x14ac:dyDescent="0.3"/>
    <row r="890" ht="15.7" customHeight="1" x14ac:dyDescent="0.3"/>
    <row r="891" ht="15.7" customHeight="1" x14ac:dyDescent="0.3"/>
    <row r="892" ht="15.7" customHeight="1" x14ac:dyDescent="0.3"/>
    <row r="893" ht="15.7" customHeight="1" x14ac:dyDescent="0.3"/>
    <row r="894" ht="15.7" customHeight="1" x14ac:dyDescent="0.3"/>
    <row r="895" ht="15.7" customHeight="1" x14ac:dyDescent="0.3"/>
    <row r="896" ht="15.7" customHeight="1" x14ac:dyDescent="0.3"/>
    <row r="897" ht="15.7" customHeight="1" x14ac:dyDescent="0.3"/>
    <row r="898" ht="15.7" customHeight="1" x14ac:dyDescent="0.3"/>
    <row r="899" ht="15.7" customHeight="1" x14ac:dyDescent="0.3"/>
    <row r="900" ht="15.7" customHeight="1" x14ac:dyDescent="0.3"/>
    <row r="901" ht="15.7" customHeight="1" x14ac:dyDescent="0.3"/>
    <row r="902" ht="15.7" customHeight="1" x14ac:dyDescent="0.3"/>
    <row r="903" ht="15.7" customHeight="1" x14ac:dyDescent="0.3"/>
    <row r="904" ht="15.7" customHeight="1" x14ac:dyDescent="0.3"/>
    <row r="905" ht="15.7" customHeight="1" x14ac:dyDescent="0.3"/>
    <row r="906" ht="15.7" customHeight="1" x14ac:dyDescent="0.3"/>
    <row r="907" ht="15.7" customHeight="1" x14ac:dyDescent="0.3"/>
    <row r="908" ht="15.7" customHeight="1" x14ac:dyDescent="0.3"/>
    <row r="909" ht="15.7" customHeight="1" x14ac:dyDescent="0.3"/>
    <row r="910" ht="15.7" customHeight="1" x14ac:dyDescent="0.3"/>
    <row r="911" ht="15.7" customHeight="1" x14ac:dyDescent="0.3"/>
    <row r="912" ht="15.7" customHeight="1" x14ac:dyDescent="0.3"/>
    <row r="913" ht="15.7" customHeight="1" x14ac:dyDescent="0.3"/>
    <row r="914" ht="15.7" customHeight="1" x14ac:dyDescent="0.3"/>
    <row r="915" ht="15.7" customHeight="1" x14ac:dyDescent="0.3"/>
    <row r="916" ht="15.7" customHeight="1" x14ac:dyDescent="0.3"/>
    <row r="917" ht="15.7" customHeight="1" x14ac:dyDescent="0.3"/>
    <row r="918" ht="15.7" customHeight="1" x14ac:dyDescent="0.3"/>
    <row r="919" ht="15.7" customHeight="1" x14ac:dyDescent="0.3"/>
    <row r="920" ht="15.7" customHeight="1" x14ac:dyDescent="0.3"/>
    <row r="921" ht="15.7" customHeight="1" x14ac:dyDescent="0.3"/>
    <row r="922" ht="15.7" customHeight="1" x14ac:dyDescent="0.3"/>
    <row r="923" ht="15.7" customHeight="1" x14ac:dyDescent="0.3"/>
    <row r="924" ht="15.7" customHeight="1" x14ac:dyDescent="0.3"/>
    <row r="925" ht="15.7" customHeight="1" x14ac:dyDescent="0.3"/>
    <row r="926" ht="15.7" customHeight="1" x14ac:dyDescent="0.3"/>
    <row r="927" ht="15.7" customHeight="1" x14ac:dyDescent="0.3"/>
    <row r="928" ht="15.7" customHeight="1" x14ac:dyDescent="0.3"/>
    <row r="929" ht="15.7" customHeight="1" x14ac:dyDescent="0.3"/>
    <row r="930" ht="15.7" customHeight="1" x14ac:dyDescent="0.3"/>
    <row r="931" ht="15.7" customHeight="1" x14ac:dyDescent="0.3"/>
    <row r="932" ht="15.7" customHeight="1" x14ac:dyDescent="0.3"/>
    <row r="933" ht="15.7" customHeight="1" x14ac:dyDescent="0.3"/>
    <row r="934" ht="15.7" customHeight="1" x14ac:dyDescent="0.3"/>
    <row r="935" ht="15.7" customHeight="1" x14ac:dyDescent="0.3"/>
    <row r="936" ht="15.7" customHeight="1" x14ac:dyDescent="0.3"/>
    <row r="937" ht="15.7" customHeight="1" x14ac:dyDescent="0.3"/>
    <row r="938" ht="15.7" customHeight="1" x14ac:dyDescent="0.3"/>
    <row r="939" ht="15.7" customHeight="1" x14ac:dyDescent="0.3"/>
    <row r="940" ht="15.7" customHeight="1" x14ac:dyDescent="0.3"/>
    <row r="941" ht="15.7" customHeight="1" x14ac:dyDescent="0.3"/>
    <row r="942" ht="15.7" customHeight="1" x14ac:dyDescent="0.3"/>
    <row r="943" ht="15.7" customHeight="1" x14ac:dyDescent="0.3"/>
    <row r="944" ht="15.7" customHeight="1" x14ac:dyDescent="0.3"/>
    <row r="945" ht="15.7" customHeight="1" x14ac:dyDescent="0.3"/>
    <row r="946" ht="15.7" customHeight="1" x14ac:dyDescent="0.3"/>
    <row r="947" ht="15.7" customHeight="1" x14ac:dyDescent="0.3"/>
    <row r="948" ht="15.7" customHeight="1" x14ac:dyDescent="0.3"/>
    <row r="949" ht="15.7" customHeight="1" x14ac:dyDescent="0.3"/>
    <row r="950" ht="15.7" customHeight="1" x14ac:dyDescent="0.3"/>
    <row r="951" ht="15.7" customHeight="1" x14ac:dyDescent="0.3"/>
    <row r="952" ht="15.7" customHeight="1" x14ac:dyDescent="0.3"/>
    <row r="953" ht="15.7" customHeight="1" x14ac:dyDescent="0.3"/>
    <row r="954" ht="15.7" customHeight="1" x14ac:dyDescent="0.3"/>
    <row r="955" ht="15.7" customHeight="1" x14ac:dyDescent="0.3"/>
    <row r="956" ht="15.7" customHeight="1" x14ac:dyDescent="0.3"/>
    <row r="957" ht="15.7" customHeight="1" x14ac:dyDescent="0.3"/>
    <row r="958" ht="15.7" customHeight="1" x14ac:dyDescent="0.3"/>
    <row r="959" ht="15.7" customHeight="1" x14ac:dyDescent="0.3"/>
    <row r="960" ht="15.7" customHeight="1" x14ac:dyDescent="0.3"/>
    <row r="961" ht="15.7" customHeight="1" x14ac:dyDescent="0.3"/>
    <row r="962" ht="15.7" customHeight="1" x14ac:dyDescent="0.3"/>
    <row r="963" ht="15.7" customHeight="1" x14ac:dyDescent="0.3"/>
    <row r="964" ht="15.7" customHeight="1" x14ac:dyDescent="0.3"/>
    <row r="965" ht="15.7" customHeight="1" x14ac:dyDescent="0.3"/>
    <row r="966" ht="15.7" customHeight="1" x14ac:dyDescent="0.3"/>
    <row r="967" ht="15.7" customHeight="1" x14ac:dyDescent="0.3"/>
    <row r="968" ht="15.7" customHeight="1" x14ac:dyDescent="0.3"/>
    <row r="969" ht="15.7" customHeight="1" x14ac:dyDescent="0.3"/>
    <row r="970" ht="15.7" customHeight="1" x14ac:dyDescent="0.3"/>
    <row r="971" ht="15.7" customHeight="1" x14ac:dyDescent="0.3"/>
    <row r="972" ht="15.7" customHeight="1" x14ac:dyDescent="0.3"/>
    <row r="973" ht="15.7" customHeight="1" x14ac:dyDescent="0.3"/>
    <row r="974" ht="15.7" customHeight="1" x14ac:dyDescent="0.3"/>
    <row r="975" ht="15.7" customHeight="1" x14ac:dyDescent="0.3"/>
    <row r="976" ht="15.7" customHeight="1" x14ac:dyDescent="0.3"/>
    <row r="977" ht="15.7" customHeight="1" x14ac:dyDescent="0.3"/>
    <row r="978" ht="15.7" customHeight="1" x14ac:dyDescent="0.3"/>
    <row r="979" ht="15.7" customHeight="1" x14ac:dyDescent="0.3"/>
    <row r="980" ht="15.7" customHeight="1" x14ac:dyDescent="0.3"/>
    <row r="981" ht="15.7" customHeight="1" x14ac:dyDescent="0.3"/>
    <row r="982" ht="15.7" customHeight="1" x14ac:dyDescent="0.3"/>
    <row r="983" ht="15.7" customHeight="1" x14ac:dyDescent="0.3"/>
    <row r="984" ht="15.7" customHeight="1" x14ac:dyDescent="0.3"/>
    <row r="985" ht="15.7" customHeight="1" x14ac:dyDescent="0.3"/>
    <row r="986" ht="15.7" customHeight="1" x14ac:dyDescent="0.3"/>
    <row r="987" ht="15.7" customHeight="1" x14ac:dyDescent="0.3"/>
    <row r="988" ht="15.7" customHeight="1" x14ac:dyDescent="0.3"/>
    <row r="989" ht="15.7" customHeight="1" x14ac:dyDescent="0.3"/>
    <row r="990" ht="15.7" customHeight="1" x14ac:dyDescent="0.3"/>
    <row r="991" ht="15.7" customHeight="1" x14ac:dyDescent="0.3"/>
    <row r="992" ht="15.7" customHeight="1" x14ac:dyDescent="0.3"/>
    <row r="993" ht="15.7" customHeight="1" x14ac:dyDescent="0.3"/>
    <row r="994" ht="15.7" customHeight="1" x14ac:dyDescent="0.3"/>
    <row r="995" ht="15.7" customHeight="1" x14ac:dyDescent="0.3"/>
    <row r="996" ht="15.7" customHeight="1" x14ac:dyDescent="0.3"/>
    <row r="997" ht="15.7" customHeight="1" x14ac:dyDescent="0.3"/>
    <row r="998" ht="15.7" customHeight="1" x14ac:dyDescent="0.3"/>
    <row r="999" ht="15.7" customHeight="1" x14ac:dyDescent="0.3"/>
    <row r="1000" ht="15.7" customHeight="1" x14ac:dyDescent="0.3"/>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Calculations</vt:lpstr>
      <vt:lpstr>Dashboard</vt:lpstr>
      <vt:lpstr>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Muztahid Hassan Sajid</cp:lastModifiedBy>
  <dcterms:created xsi:type="dcterms:W3CDTF">2015-06-05T18:17:20Z</dcterms:created>
  <dcterms:modified xsi:type="dcterms:W3CDTF">2026-03-26T17:20:05Z</dcterms:modified>
</cp:coreProperties>
</file>